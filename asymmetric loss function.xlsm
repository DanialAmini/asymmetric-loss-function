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rrigation\"/>
    </mc:Choice>
  </mc:AlternateContent>
  <xr:revisionPtr revIDLastSave="0" documentId="13_ncr:1_{2A869562-65CF-4195-9428-1F108A686D6C}" xr6:coauthVersionLast="45" xr6:coauthVersionMax="45" xr10:uidLastSave="{00000000-0000-0000-0000-000000000000}"/>
  <bookViews>
    <workbookView xWindow="-120" yWindow="-120" windowWidth="20730" windowHeight="10845" tabRatio="849" xr2:uid="{00000000-000D-0000-FFFF-FFFF00000000}"/>
  </bookViews>
  <sheets>
    <sheet name="test function" sheetId="59" r:id="rId1"/>
  </sheets>
  <functionGroups builtInGroupCount="19"/>
  <definedNames>
    <definedName name="solver_adj" localSheetId="0" hidden="1">'test function'!$AI$8:$AI$25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'test function'!$V$4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B10" i="59" l="1"/>
  <c r="BC10" i="59" s="1"/>
  <c r="BC9" i="59"/>
  <c r="BD9" i="59"/>
  <c r="AM508" i="59"/>
  <c r="AM509" i="59"/>
  <c r="AL508" i="59"/>
  <c r="AL509" i="59"/>
  <c r="AC508" i="59"/>
  <c r="AD508" i="59"/>
  <c r="AC509" i="59"/>
  <c r="AD509" i="59"/>
  <c r="R506" i="59"/>
  <c r="AL506" i="59" s="1"/>
  <c r="N7" i="59"/>
  <c r="N8" i="59"/>
  <c r="N9" i="59"/>
  <c r="N10" i="59"/>
  <c r="R10" i="59" s="1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R26" i="59" s="1"/>
  <c r="AL26" i="59" s="1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U80" i="59" s="1"/>
  <c r="V80" i="59" s="1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R138" i="59" s="1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R154" i="59" s="1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R186" i="59" s="1"/>
  <c r="N187" i="59"/>
  <c r="N188" i="59"/>
  <c r="N189" i="59"/>
  <c r="N190" i="59"/>
  <c r="N191" i="59"/>
  <c r="N192" i="59"/>
  <c r="N193" i="59"/>
  <c r="N194" i="59"/>
  <c r="R194" i="59" s="1"/>
  <c r="S194" i="59" s="1"/>
  <c r="N195" i="59"/>
  <c r="N196" i="59"/>
  <c r="N197" i="59"/>
  <c r="N198" i="59"/>
  <c r="N199" i="59"/>
  <c r="N200" i="59"/>
  <c r="N201" i="59"/>
  <c r="N202" i="59"/>
  <c r="N203" i="59"/>
  <c r="N204" i="59"/>
  <c r="N205" i="59"/>
  <c r="U205" i="59" s="1"/>
  <c r="V205" i="59" s="1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R218" i="59" s="1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R250" i="59" s="1"/>
  <c r="N251" i="59"/>
  <c r="N252" i="59"/>
  <c r="R252" i="59" s="1"/>
  <c r="AL252" i="59" s="1"/>
  <c r="N253" i="59"/>
  <c r="N254" i="59"/>
  <c r="N255" i="59"/>
  <c r="N256" i="59"/>
  <c r="N257" i="59"/>
  <c r="N258" i="59"/>
  <c r="R258" i="59" s="1"/>
  <c r="N259" i="59"/>
  <c r="N260" i="59"/>
  <c r="N261" i="59"/>
  <c r="N262" i="59"/>
  <c r="N263" i="59"/>
  <c r="N264" i="59"/>
  <c r="N265" i="59"/>
  <c r="N266" i="59"/>
  <c r="N267" i="59"/>
  <c r="N268" i="59"/>
  <c r="N269" i="59"/>
  <c r="N270" i="59"/>
  <c r="N271" i="59"/>
  <c r="N272" i="59"/>
  <c r="N273" i="59"/>
  <c r="N274" i="59"/>
  <c r="N275" i="59"/>
  <c r="N276" i="59"/>
  <c r="N277" i="59"/>
  <c r="N278" i="59"/>
  <c r="N279" i="59"/>
  <c r="N280" i="59"/>
  <c r="N281" i="59"/>
  <c r="N282" i="59"/>
  <c r="R282" i="59" s="1"/>
  <c r="N283" i="59"/>
  <c r="N284" i="59"/>
  <c r="N285" i="59"/>
  <c r="N286" i="59"/>
  <c r="N287" i="59"/>
  <c r="N288" i="59"/>
  <c r="N289" i="59"/>
  <c r="N290" i="59"/>
  <c r="R290" i="59" s="1"/>
  <c r="S290" i="59" s="1"/>
  <c r="N291" i="59"/>
  <c r="N292" i="59"/>
  <c r="N293" i="59"/>
  <c r="N294" i="59"/>
  <c r="N295" i="59"/>
  <c r="N296" i="59"/>
  <c r="N297" i="59"/>
  <c r="N298" i="59"/>
  <c r="N299" i="59"/>
  <c r="N300" i="59"/>
  <c r="N301" i="59"/>
  <c r="N302" i="59"/>
  <c r="N303" i="59"/>
  <c r="N304" i="59"/>
  <c r="N305" i="59"/>
  <c r="N306" i="59"/>
  <c r="N307" i="59"/>
  <c r="N308" i="59"/>
  <c r="N309" i="59"/>
  <c r="N310" i="59"/>
  <c r="N311" i="59"/>
  <c r="N312" i="59"/>
  <c r="N313" i="59"/>
  <c r="N314" i="59"/>
  <c r="R314" i="59" s="1"/>
  <c r="N315" i="59"/>
  <c r="N316" i="59"/>
  <c r="N317" i="59"/>
  <c r="N318" i="59"/>
  <c r="N319" i="59"/>
  <c r="N320" i="59"/>
  <c r="N321" i="59"/>
  <c r="N322" i="59"/>
  <c r="R322" i="59" s="1"/>
  <c r="N323" i="59"/>
  <c r="N324" i="59"/>
  <c r="N325" i="59"/>
  <c r="N326" i="59"/>
  <c r="N327" i="59"/>
  <c r="N328" i="59"/>
  <c r="N329" i="59"/>
  <c r="N330" i="59"/>
  <c r="N331" i="59"/>
  <c r="N332" i="59"/>
  <c r="N333" i="59"/>
  <c r="N334" i="59"/>
  <c r="N335" i="59"/>
  <c r="N336" i="59"/>
  <c r="N337" i="59"/>
  <c r="N338" i="59"/>
  <c r="N339" i="59"/>
  <c r="N340" i="59"/>
  <c r="N341" i="59"/>
  <c r="N342" i="59"/>
  <c r="N343" i="59"/>
  <c r="N344" i="59"/>
  <c r="N345" i="59"/>
  <c r="N346" i="59"/>
  <c r="R346" i="59" s="1"/>
  <c r="N347" i="59"/>
  <c r="N348" i="59"/>
  <c r="N349" i="59"/>
  <c r="N350" i="59"/>
  <c r="N351" i="59"/>
  <c r="N352" i="59"/>
  <c r="N353" i="59"/>
  <c r="N354" i="59"/>
  <c r="R354" i="59" s="1"/>
  <c r="N355" i="59"/>
  <c r="N356" i="59"/>
  <c r="N357" i="59"/>
  <c r="N358" i="59"/>
  <c r="N359" i="59"/>
  <c r="N360" i="59"/>
  <c r="N361" i="59"/>
  <c r="N362" i="59"/>
  <c r="N363" i="59"/>
  <c r="N364" i="59"/>
  <c r="N365" i="59"/>
  <c r="N366" i="59"/>
  <c r="N367" i="59"/>
  <c r="N368" i="59"/>
  <c r="N369" i="59"/>
  <c r="N370" i="59"/>
  <c r="N371" i="59"/>
  <c r="N372" i="59"/>
  <c r="N373" i="59"/>
  <c r="N374" i="59"/>
  <c r="N375" i="59"/>
  <c r="N376" i="59"/>
  <c r="N377" i="59"/>
  <c r="N378" i="59"/>
  <c r="R378" i="59" s="1"/>
  <c r="S378" i="59" s="1"/>
  <c r="N379" i="59"/>
  <c r="N380" i="59"/>
  <c r="N381" i="59"/>
  <c r="N382" i="59"/>
  <c r="N383" i="59"/>
  <c r="N384" i="59"/>
  <c r="N385" i="59"/>
  <c r="N386" i="59"/>
  <c r="N387" i="59"/>
  <c r="N388" i="59"/>
  <c r="N389" i="59"/>
  <c r="N390" i="59"/>
  <c r="N391" i="59"/>
  <c r="N392" i="59"/>
  <c r="N393" i="59"/>
  <c r="N394" i="59"/>
  <c r="N395" i="59"/>
  <c r="N396" i="59"/>
  <c r="N397" i="59"/>
  <c r="N398" i="59"/>
  <c r="N399" i="59"/>
  <c r="N400" i="59"/>
  <c r="N401" i="59"/>
  <c r="N402" i="59"/>
  <c r="R402" i="59" s="1"/>
  <c r="AL402" i="59" s="1"/>
  <c r="N403" i="59"/>
  <c r="N404" i="59"/>
  <c r="N405" i="59"/>
  <c r="N406" i="59"/>
  <c r="N407" i="59"/>
  <c r="N408" i="59"/>
  <c r="N409" i="59"/>
  <c r="N410" i="59"/>
  <c r="R410" i="59" s="1"/>
  <c r="AL410" i="59" s="1"/>
  <c r="N411" i="59"/>
  <c r="N412" i="59"/>
  <c r="N413" i="59"/>
  <c r="N414" i="59"/>
  <c r="N415" i="59"/>
  <c r="N416" i="59"/>
  <c r="N417" i="59"/>
  <c r="N418" i="59"/>
  <c r="N419" i="59"/>
  <c r="R419" i="59" s="1"/>
  <c r="N420" i="59"/>
  <c r="N421" i="59"/>
  <c r="N422" i="59"/>
  <c r="N423" i="59"/>
  <c r="N424" i="59"/>
  <c r="N425" i="59"/>
  <c r="N426" i="59"/>
  <c r="R426" i="59" s="1"/>
  <c r="S426" i="59" s="1"/>
  <c r="N427" i="59"/>
  <c r="N428" i="59"/>
  <c r="N429" i="59"/>
  <c r="N430" i="59"/>
  <c r="N431" i="59"/>
  <c r="N432" i="59"/>
  <c r="N433" i="59"/>
  <c r="N434" i="59"/>
  <c r="N435" i="59"/>
  <c r="N436" i="59"/>
  <c r="N437" i="59"/>
  <c r="N438" i="59"/>
  <c r="N439" i="59"/>
  <c r="N440" i="59"/>
  <c r="N441" i="59"/>
  <c r="N442" i="59"/>
  <c r="N443" i="59"/>
  <c r="N444" i="59"/>
  <c r="U444" i="59" s="1"/>
  <c r="V444" i="59" s="1"/>
  <c r="N445" i="59"/>
  <c r="N446" i="59"/>
  <c r="N447" i="59"/>
  <c r="N448" i="59"/>
  <c r="N449" i="59"/>
  <c r="N450" i="59"/>
  <c r="R450" i="59" s="1"/>
  <c r="N451" i="59"/>
  <c r="R451" i="59" s="1"/>
  <c r="N452" i="59"/>
  <c r="N453" i="59"/>
  <c r="N454" i="59"/>
  <c r="N455" i="59"/>
  <c r="N456" i="59"/>
  <c r="N457" i="59"/>
  <c r="N458" i="59"/>
  <c r="N459" i="59"/>
  <c r="N460" i="59"/>
  <c r="N461" i="59"/>
  <c r="N462" i="59"/>
  <c r="N463" i="59"/>
  <c r="N464" i="59"/>
  <c r="N465" i="59"/>
  <c r="N466" i="59"/>
  <c r="R466" i="59" s="1"/>
  <c r="AL466" i="59" s="1"/>
  <c r="N467" i="59"/>
  <c r="N468" i="59"/>
  <c r="N469" i="59"/>
  <c r="N470" i="59"/>
  <c r="N471" i="59"/>
  <c r="N472" i="59"/>
  <c r="N473" i="59"/>
  <c r="N474" i="59"/>
  <c r="R474" i="59" s="1"/>
  <c r="S474" i="59" s="1"/>
  <c r="N475" i="59"/>
  <c r="N476" i="59"/>
  <c r="N477" i="59"/>
  <c r="N478" i="59"/>
  <c r="N479" i="59"/>
  <c r="N480" i="59"/>
  <c r="N481" i="59"/>
  <c r="N482" i="59"/>
  <c r="N483" i="59"/>
  <c r="N484" i="59"/>
  <c r="N485" i="59"/>
  <c r="N486" i="59"/>
  <c r="N487" i="59"/>
  <c r="N488" i="59"/>
  <c r="N489" i="59"/>
  <c r="N490" i="59"/>
  <c r="N491" i="59"/>
  <c r="N492" i="59"/>
  <c r="N493" i="59"/>
  <c r="N494" i="59"/>
  <c r="AK494" i="59" s="1"/>
  <c r="N495" i="59"/>
  <c r="N496" i="59"/>
  <c r="N497" i="59"/>
  <c r="N498" i="59"/>
  <c r="N499" i="59"/>
  <c r="N500" i="59"/>
  <c r="N501" i="59"/>
  <c r="N502" i="59"/>
  <c r="AK502" i="59" s="1"/>
  <c r="N503" i="59"/>
  <c r="N504" i="59"/>
  <c r="N505" i="59"/>
  <c r="N506" i="59"/>
  <c r="N507" i="59"/>
  <c r="R507" i="59" s="1"/>
  <c r="AL507" i="59" s="1"/>
  <c r="N6" i="59"/>
  <c r="O4" i="59"/>
  <c r="L14" i="59"/>
  <c r="M14" i="59" s="1"/>
  <c r="L22" i="59"/>
  <c r="M22" i="59" s="1"/>
  <c r="L38" i="59"/>
  <c r="M38" i="59" s="1"/>
  <c r="L46" i="59"/>
  <c r="M46" i="59" s="1"/>
  <c r="L54" i="59"/>
  <c r="M54" i="59" s="1"/>
  <c r="L62" i="59"/>
  <c r="M62" i="59" s="1"/>
  <c r="L70" i="59"/>
  <c r="M70" i="59" s="1"/>
  <c r="L78" i="59"/>
  <c r="M78" i="59" s="1"/>
  <c r="L86" i="59"/>
  <c r="M86" i="59" s="1"/>
  <c r="L102" i="59"/>
  <c r="M102" i="59" s="1"/>
  <c r="L110" i="59"/>
  <c r="M110" i="59" s="1"/>
  <c r="L118" i="59"/>
  <c r="M118" i="59" s="1"/>
  <c r="L126" i="59"/>
  <c r="M126" i="59" s="1"/>
  <c r="L134" i="59"/>
  <c r="M134" i="59" s="1"/>
  <c r="L142" i="59"/>
  <c r="M142" i="59" s="1"/>
  <c r="L150" i="59"/>
  <c r="M150" i="59" s="1"/>
  <c r="L166" i="59"/>
  <c r="M166" i="59" s="1"/>
  <c r="L174" i="59"/>
  <c r="M174" i="59" s="1"/>
  <c r="L182" i="59"/>
  <c r="M182" i="59" s="1"/>
  <c r="L190" i="59"/>
  <c r="M190" i="59" s="1"/>
  <c r="L198" i="59"/>
  <c r="M198" i="59" s="1"/>
  <c r="L206" i="59"/>
  <c r="M206" i="59" s="1"/>
  <c r="L214" i="59"/>
  <c r="M214" i="59" s="1"/>
  <c r="L230" i="59"/>
  <c r="M230" i="59" s="1"/>
  <c r="L238" i="59"/>
  <c r="M238" i="59" s="1"/>
  <c r="L246" i="59"/>
  <c r="M246" i="59" s="1"/>
  <c r="L254" i="59"/>
  <c r="M254" i="59" s="1"/>
  <c r="L262" i="59"/>
  <c r="M262" i="59" s="1"/>
  <c r="L270" i="59"/>
  <c r="M270" i="59" s="1"/>
  <c r="L278" i="59"/>
  <c r="M278" i="59" s="1"/>
  <c r="L294" i="59"/>
  <c r="M294" i="59" s="1"/>
  <c r="L302" i="59"/>
  <c r="M302" i="59" s="1"/>
  <c r="L310" i="59"/>
  <c r="M310" i="59" s="1"/>
  <c r="L318" i="59"/>
  <c r="M318" i="59" s="1"/>
  <c r="L326" i="59"/>
  <c r="M326" i="59" s="1"/>
  <c r="L334" i="59"/>
  <c r="M334" i="59" s="1"/>
  <c r="L342" i="59"/>
  <c r="M342" i="59" s="1"/>
  <c r="L358" i="59"/>
  <c r="M358" i="59" s="1"/>
  <c r="L366" i="59"/>
  <c r="M366" i="59" s="1"/>
  <c r="L374" i="59"/>
  <c r="M374" i="59" s="1"/>
  <c r="L382" i="59"/>
  <c r="M382" i="59" s="1"/>
  <c r="L390" i="59"/>
  <c r="M390" i="59" s="1"/>
  <c r="L398" i="59"/>
  <c r="M398" i="59" s="1"/>
  <c r="L406" i="59"/>
  <c r="M406" i="59" s="1"/>
  <c r="L422" i="59"/>
  <c r="M422" i="59" s="1"/>
  <c r="L430" i="59"/>
  <c r="M430" i="59" s="1"/>
  <c r="L438" i="59"/>
  <c r="M438" i="59" s="1"/>
  <c r="L446" i="59"/>
  <c r="M446" i="59" s="1"/>
  <c r="L454" i="59"/>
  <c r="M454" i="59" s="1"/>
  <c r="L462" i="59"/>
  <c r="M462" i="59" s="1"/>
  <c r="L470" i="59"/>
  <c r="M470" i="59" s="1"/>
  <c r="L486" i="59"/>
  <c r="M486" i="59" s="1"/>
  <c r="L494" i="59"/>
  <c r="M494" i="59" s="1"/>
  <c r="L502" i="59"/>
  <c r="M502" i="59" s="1"/>
  <c r="L15" i="59"/>
  <c r="M15" i="59" s="1"/>
  <c r="L23" i="59"/>
  <c r="M23" i="59" s="1"/>
  <c r="L31" i="59"/>
  <c r="M31" i="59" s="1"/>
  <c r="L39" i="59"/>
  <c r="M39" i="59" s="1"/>
  <c r="L47" i="59"/>
  <c r="M47" i="59" s="1"/>
  <c r="L55" i="59"/>
  <c r="M55" i="59" s="1"/>
  <c r="L63" i="59"/>
  <c r="M63" i="59" s="1"/>
  <c r="L71" i="59"/>
  <c r="M71" i="59" s="1"/>
  <c r="L79" i="59"/>
  <c r="M79" i="59" s="1"/>
  <c r="L87" i="59"/>
  <c r="M87" i="59" s="1"/>
  <c r="L95" i="59"/>
  <c r="M95" i="59" s="1"/>
  <c r="L103" i="59"/>
  <c r="M103" i="59" s="1"/>
  <c r="L111" i="59"/>
  <c r="M111" i="59" s="1"/>
  <c r="L119" i="59"/>
  <c r="M119" i="59" s="1"/>
  <c r="L127" i="59"/>
  <c r="M127" i="59" s="1"/>
  <c r="L135" i="59"/>
  <c r="M135" i="59" s="1"/>
  <c r="L143" i="59"/>
  <c r="M143" i="59" s="1"/>
  <c r="L151" i="59"/>
  <c r="M151" i="59" s="1"/>
  <c r="L159" i="59"/>
  <c r="M159" i="59" s="1"/>
  <c r="L167" i="59"/>
  <c r="M167" i="59" s="1"/>
  <c r="L175" i="59"/>
  <c r="M175" i="59" s="1"/>
  <c r="L183" i="59"/>
  <c r="M183" i="59" s="1"/>
  <c r="L191" i="59"/>
  <c r="M191" i="59" s="1"/>
  <c r="L199" i="59"/>
  <c r="M199" i="59" s="1"/>
  <c r="L207" i="59"/>
  <c r="M207" i="59" s="1"/>
  <c r="L215" i="59"/>
  <c r="M215" i="59" s="1"/>
  <c r="L223" i="59"/>
  <c r="M223" i="59" s="1"/>
  <c r="L231" i="59"/>
  <c r="M231" i="59" s="1"/>
  <c r="L239" i="59"/>
  <c r="M239" i="59" s="1"/>
  <c r="L247" i="59"/>
  <c r="M247" i="59" s="1"/>
  <c r="L255" i="59"/>
  <c r="M255" i="59" s="1"/>
  <c r="L263" i="59"/>
  <c r="M263" i="59" s="1"/>
  <c r="L271" i="59"/>
  <c r="M271" i="59" s="1"/>
  <c r="L279" i="59"/>
  <c r="M279" i="59" s="1"/>
  <c r="L287" i="59"/>
  <c r="M287" i="59" s="1"/>
  <c r="L295" i="59"/>
  <c r="M295" i="59" s="1"/>
  <c r="L303" i="59"/>
  <c r="M303" i="59" s="1"/>
  <c r="L311" i="59"/>
  <c r="M311" i="59" s="1"/>
  <c r="L319" i="59"/>
  <c r="M319" i="59" s="1"/>
  <c r="L327" i="59"/>
  <c r="M327" i="59" s="1"/>
  <c r="L335" i="59"/>
  <c r="M335" i="59" s="1"/>
  <c r="L343" i="59"/>
  <c r="M343" i="59" s="1"/>
  <c r="L351" i="59"/>
  <c r="M351" i="59" s="1"/>
  <c r="L359" i="59"/>
  <c r="M359" i="59" s="1"/>
  <c r="L367" i="59"/>
  <c r="M367" i="59" s="1"/>
  <c r="L375" i="59"/>
  <c r="M375" i="59" s="1"/>
  <c r="L383" i="59"/>
  <c r="M383" i="59" s="1"/>
  <c r="L391" i="59"/>
  <c r="M391" i="59" s="1"/>
  <c r="L399" i="59"/>
  <c r="M399" i="59" s="1"/>
  <c r="L407" i="59"/>
  <c r="M407" i="59" s="1"/>
  <c r="L415" i="59"/>
  <c r="M415" i="59" s="1"/>
  <c r="L423" i="59"/>
  <c r="M423" i="59" s="1"/>
  <c r="L431" i="59"/>
  <c r="M431" i="59" s="1"/>
  <c r="L439" i="59"/>
  <c r="M439" i="59" s="1"/>
  <c r="L447" i="59"/>
  <c r="M447" i="59" s="1"/>
  <c r="L455" i="59"/>
  <c r="M455" i="59" s="1"/>
  <c r="L463" i="59"/>
  <c r="M463" i="59" s="1"/>
  <c r="L471" i="59"/>
  <c r="M471" i="59" s="1"/>
  <c r="L479" i="59"/>
  <c r="M479" i="59" s="1"/>
  <c r="L487" i="59"/>
  <c r="M487" i="59" s="1"/>
  <c r="L495" i="59"/>
  <c r="M495" i="59" s="1"/>
  <c r="L503" i="59"/>
  <c r="M503" i="59" s="1"/>
  <c r="L8" i="59"/>
  <c r="M8" i="59" s="1"/>
  <c r="L9" i="59"/>
  <c r="M9" i="59" s="1"/>
  <c r="L10" i="59"/>
  <c r="M10" i="59" s="1"/>
  <c r="L11" i="59"/>
  <c r="M11" i="59" s="1"/>
  <c r="L12" i="59"/>
  <c r="M12" i="59" s="1"/>
  <c r="L13" i="59"/>
  <c r="M13" i="59" s="1"/>
  <c r="L16" i="59"/>
  <c r="M16" i="59" s="1"/>
  <c r="L17" i="59"/>
  <c r="M17" i="59" s="1"/>
  <c r="L18" i="59"/>
  <c r="M18" i="59" s="1"/>
  <c r="L19" i="59"/>
  <c r="M19" i="59" s="1"/>
  <c r="L20" i="59"/>
  <c r="M20" i="59" s="1"/>
  <c r="L21" i="59"/>
  <c r="M21" i="59" s="1"/>
  <c r="L24" i="59"/>
  <c r="M24" i="59" s="1"/>
  <c r="L25" i="59"/>
  <c r="M25" i="59" s="1"/>
  <c r="L26" i="59"/>
  <c r="M26" i="59" s="1"/>
  <c r="L27" i="59"/>
  <c r="M27" i="59" s="1"/>
  <c r="L28" i="59"/>
  <c r="M28" i="59" s="1"/>
  <c r="L29" i="59"/>
  <c r="M29" i="59" s="1"/>
  <c r="L30" i="59"/>
  <c r="M30" i="59" s="1"/>
  <c r="L32" i="59"/>
  <c r="M32" i="59" s="1"/>
  <c r="L33" i="59"/>
  <c r="M33" i="59" s="1"/>
  <c r="L34" i="59"/>
  <c r="M34" i="59" s="1"/>
  <c r="L35" i="59"/>
  <c r="M35" i="59" s="1"/>
  <c r="L36" i="59"/>
  <c r="M36" i="59" s="1"/>
  <c r="L37" i="59"/>
  <c r="M37" i="59" s="1"/>
  <c r="L40" i="59"/>
  <c r="M40" i="59" s="1"/>
  <c r="L41" i="59"/>
  <c r="M41" i="59" s="1"/>
  <c r="L42" i="59"/>
  <c r="M42" i="59" s="1"/>
  <c r="L43" i="59"/>
  <c r="M43" i="59" s="1"/>
  <c r="L44" i="59"/>
  <c r="M44" i="59" s="1"/>
  <c r="L45" i="59"/>
  <c r="M45" i="59" s="1"/>
  <c r="L48" i="59"/>
  <c r="M48" i="59" s="1"/>
  <c r="L49" i="59"/>
  <c r="M49" i="59" s="1"/>
  <c r="L50" i="59"/>
  <c r="M50" i="59" s="1"/>
  <c r="L51" i="59"/>
  <c r="M51" i="59" s="1"/>
  <c r="L52" i="59"/>
  <c r="M52" i="59" s="1"/>
  <c r="L53" i="59"/>
  <c r="M53" i="59" s="1"/>
  <c r="L56" i="59"/>
  <c r="M56" i="59" s="1"/>
  <c r="L57" i="59"/>
  <c r="M57" i="59" s="1"/>
  <c r="L58" i="59"/>
  <c r="M58" i="59" s="1"/>
  <c r="L59" i="59"/>
  <c r="M59" i="59" s="1"/>
  <c r="L60" i="59"/>
  <c r="M60" i="59" s="1"/>
  <c r="L61" i="59"/>
  <c r="M61" i="59" s="1"/>
  <c r="L64" i="59"/>
  <c r="M64" i="59" s="1"/>
  <c r="L65" i="59"/>
  <c r="M65" i="59" s="1"/>
  <c r="L66" i="59"/>
  <c r="M66" i="59" s="1"/>
  <c r="L67" i="59"/>
  <c r="M67" i="59" s="1"/>
  <c r="L68" i="59"/>
  <c r="M68" i="59" s="1"/>
  <c r="L69" i="59"/>
  <c r="M69" i="59" s="1"/>
  <c r="L72" i="59"/>
  <c r="M72" i="59" s="1"/>
  <c r="L73" i="59"/>
  <c r="M73" i="59" s="1"/>
  <c r="L74" i="59"/>
  <c r="M74" i="59" s="1"/>
  <c r="L75" i="59"/>
  <c r="M75" i="59" s="1"/>
  <c r="L76" i="59"/>
  <c r="M76" i="59" s="1"/>
  <c r="L77" i="59"/>
  <c r="M77" i="59" s="1"/>
  <c r="L80" i="59"/>
  <c r="M80" i="59" s="1"/>
  <c r="L81" i="59"/>
  <c r="M81" i="59" s="1"/>
  <c r="L82" i="59"/>
  <c r="M82" i="59" s="1"/>
  <c r="L83" i="59"/>
  <c r="M83" i="59" s="1"/>
  <c r="L84" i="59"/>
  <c r="M84" i="59" s="1"/>
  <c r="L85" i="59"/>
  <c r="M85" i="59" s="1"/>
  <c r="L88" i="59"/>
  <c r="M88" i="59" s="1"/>
  <c r="L89" i="59"/>
  <c r="M89" i="59" s="1"/>
  <c r="L90" i="59"/>
  <c r="M90" i="59" s="1"/>
  <c r="L91" i="59"/>
  <c r="M91" i="59" s="1"/>
  <c r="L92" i="59"/>
  <c r="M92" i="59" s="1"/>
  <c r="L93" i="59"/>
  <c r="M93" i="59" s="1"/>
  <c r="L94" i="59"/>
  <c r="M94" i="59" s="1"/>
  <c r="L96" i="59"/>
  <c r="M96" i="59" s="1"/>
  <c r="L97" i="59"/>
  <c r="M97" i="59" s="1"/>
  <c r="L98" i="59"/>
  <c r="M98" i="59" s="1"/>
  <c r="L99" i="59"/>
  <c r="M99" i="59" s="1"/>
  <c r="L100" i="59"/>
  <c r="M100" i="59" s="1"/>
  <c r="L101" i="59"/>
  <c r="M101" i="59" s="1"/>
  <c r="L104" i="59"/>
  <c r="M104" i="59" s="1"/>
  <c r="L105" i="59"/>
  <c r="M105" i="59" s="1"/>
  <c r="L106" i="59"/>
  <c r="M106" i="59" s="1"/>
  <c r="L107" i="59"/>
  <c r="M107" i="59" s="1"/>
  <c r="L108" i="59"/>
  <c r="M108" i="59" s="1"/>
  <c r="L109" i="59"/>
  <c r="M109" i="59" s="1"/>
  <c r="L112" i="59"/>
  <c r="M112" i="59" s="1"/>
  <c r="L113" i="59"/>
  <c r="M113" i="59" s="1"/>
  <c r="L114" i="59"/>
  <c r="M114" i="59" s="1"/>
  <c r="L115" i="59"/>
  <c r="M115" i="59" s="1"/>
  <c r="L116" i="59"/>
  <c r="M116" i="59" s="1"/>
  <c r="L117" i="59"/>
  <c r="M117" i="59" s="1"/>
  <c r="L120" i="59"/>
  <c r="M120" i="59" s="1"/>
  <c r="L121" i="59"/>
  <c r="M121" i="59" s="1"/>
  <c r="L122" i="59"/>
  <c r="M122" i="59" s="1"/>
  <c r="L123" i="59"/>
  <c r="M123" i="59" s="1"/>
  <c r="L124" i="59"/>
  <c r="M124" i="59" s="1"/>
  <c r="L125" i="59"/>
  <c r="M125" i="59" s="1"/>
  <c r="L128" i="59"/>
  <c r="M128" i="59" s="1"/>
  <c r="L129" i="59"/>
  <c r="M129" i="59" s="1"/>
  <c r="L130" i="59"/>
  <c r="M130" i="59" s="1"/>
  <c r="L131" i="59"/>
  <c r="M131" i="59" s="1"/>
  <c r="L132" i="59"/>
  <c r="M132" i="59" s="1"/>
  <c r="L133" i="59"/>
  <c r="M133" i="59" s="1"/>
  <c r="L136" i="59"/>
  <c r="M136" i="59" s="1"/>
  <c r="L137" i="59"/>
  <c r="M137" i="59" s="1"/>
  <c r="L138" i="59"/>
  <c r="M138" i="59" s="1"/>
  <c r="L139" i="59"/>
  <c r="M139" i="59" s="1"/>
  <c r="L140" i="59"/>
  <c r="M140" i="59" s="1"/>
  <c r="L141" i="59"/>
  <c r="M141" i="59" s="1"/>
  <c r="L144" i="59"/>
  <c r="M144" i="59" s="1"/>
  <c r="L145" i="59"/>
  <c r="M145" i="59" s="1"/>
  <c r="L146" i="59"/>
  <c r="M146" i="59" s="1"/>
  <c r="L147" i="59"/>
  <c r="M147" i="59" s="1"/>
  <c r="L148" i="59"/>
  <c r="M148" i="59" s="1"/>
  <c r="L149" i="59"/>
  <c r="M149" i="59" s="1"/>
  <c r="L152" i="59"/>
  <c r="M152" i="59" s="1"/>
  <c r="L153" i="59"/>
  <c r="M153" i="59" s="1"/>
  <c r="L154" i="59"/>
  <c r="M154" i="59" s="1"/>
  <c r="L155" i="59"/>
  <c r="M155" i="59" s="1"/>
  <c r="L156" i="59"/>
  <c r="M156" i="59" s="1"/>
  <c r="L157" i="59"/>
  <c r="M157" i="59" s="1"/>
  <c r="L158" i="59"/>
  <c r="M158" i="59" s="1"/>
  <c r="L160" i="59"/>
  <c r="M160" i="59" s="1"/>
  <c r="L161" i="59"/>
  <c r="M161" i="59" s="1"/>
  <c r="L162" i="59"/>
  <c r="M162" i="59" s="1"/>
  <c r="L163" i="59"/>
  <c r="M163" i="59" s="1"/>
  <c r="L164" i="59"/>
  <c r="M164" i="59" s="1"/>
  <c r="L165" i="59"/>
  <c r="M165" i="59" s="1"/>
  <c r="L168" i="59"/>
  <c r="M168" i="59" s="1"/>
  <c r="L169" i="59"/>
  <c r="M169" i="59" s="1"/>
  <c r="L170" i="59"/>
  <c r="M170" i="59" s="1"/>
  <c r="L171" i="59"/>
  <c r="M171" i="59" s="1"/>
  <c r="L172" i="59"/>
  <c r="M172" i="59" s="1"/>
  <c r="L173" i="59"/>
  <c r="M173" i="59" s="1"/>
  <c r="L176" i="59"/>
  <c r="M176" i="59" s="1"/>
  <c r="L177" i="59"/>
  <c r="M177" i="59" s="1"/>
  <c r="L178" i="59"/>
  <c r="M178" i="59" s="1"/>
  <c r="L179" i="59"/>
  <c r="M179" i="59" s="1"/>
  <c r="L180" i="59"/>
  <c r="M180" i="59" s="1"/>
  <c r="L181" i="59"/>
  <c r="M181" i="59" s="1"/>
  <c r="L184" i="59"/>
  <c r="M184" i="59" s="1"/>
  <c r="L185" i="59"/>
  <c r="M185" i="59" s="1"/>
  <c r="L186" i="59"/>
  <c r="M186" i="59" s="1"/>
  <c r="L187" i="59"/>
  <c r="M187" i="59" s="1"/>
  <c r="L188" i="59"/>
  <c r="M188" i="59" s="1"/>
  <c r="L189" i="59"/>
  <c r="M189" i="59" s="1"/>
  <c r="L192" i="59"/>
  <c r="M192" i="59" s="1"/>
  <c r="L193" i="59"/>
  <c r="M193" i="59" s="1"/>
  <c r="L194" i="59"/>
  <c r="M194" i="59" s="1"/>
  <c r="L195" i="59"/>
  <c r="M195" i="59" s="1"/>
  <c r="L196" i="59"/>
  <c r="M196" i="59" s="1"/>
  <c r="L197" i="59"/>
  <c r="M197" i="59" s="1"/>
  <c r="L200" i="59"/>
  <c r="M200" i="59" s="1"/>
  <c r="L201" i="59"/>
  <c r="M201" i="59" s="1"/>
  <c r="L202" i="59"/>
  <c r="M202" i="59" s="1"/>
  <c r="L203" i="59"/>
  <c r="M203" i="59" s="1"/>
  <c r="L204" i="59"/>
  <c r="M204" i="59" s="1"/>
  <c r="L205" i="59"/>
  <c r="M205" i="59" s="1"/>
  <c r="L208" i="59"/>
  <c r="M208" i="59" s="1"/>
  <c r="L209" i="59"/>
  <c r="M209" i="59" s="1"/>
  <c r="L210" i="59"/>
  <c r="M210" i="59" s="1"/>
  <c r="L211" i="59"/>
  <c r="M211" i="59" s="1"/>
  <c r="L212" i="59"/>
  <c r="M212" i="59" s="1"/>
  <c r="L213" i="59"/>
  <c r="M213" i="59" s="1"/>
  <c r="L216" i="59"/>
  <c r="M216" i="59" s="1"/>
  <c r="L217" i="59"/>
  <c r="M217" i="59" s="1"/>
  <c r="L218" i="59"/>
  <c r="M218" i="59" s="1"/>
  <c r="L219" i="59"/>
  <c r="M219" i="59" s="1"/>
  <c r="L220" i="59"/>
  <c r="M220" i="59" s="1"/>
  <c r="L221" i="59"/>
  <c r="M221" i="59" s="1"/>
  <c r="L222" i="59"/>
  <c r="M222" i="59" s="1"/>
  <c r="L224" i="59"/>
  <c r="M224" i="59" s="1"/>
  <c r="L225" i="59"/>
  <c r="M225" i="59" s="1"/>
  <c r="L226" i="59"/>
  <c r="M226" i="59" s="1"/>
  <c r="L227" i="59"/>
  <c r="M227" i="59" s="1"/>
  <c r="L228" i="59"/>
  <c r="M228" i="59" s="1"/>
  <c r="L229" i="59"/>
  <c r="M229" i="59" s="1"/>
  <c r="L232" i="59"/>
  <c r="M232" i="59" s="1"/>
  <c r="L233" i="59"/>
  <c r="M233" i="59" s="1"/>
  <c r="L234" i="59"/>
  <c r="M234" i="59" s="1"/>
  <c r="L235" i="59"/>
  <c r="M235" i="59" s="1"/>
  <c r="L236" i="59"/>
  <c r="M236" i="59" s="1"/>
  <c r="L237" i="59"/>
  <c r="M237" i="59" s="1"/>
  <c r="L240" i="59"/>
  <c r="M240" i="59" s="1"/>
  <c r="L241" i="59"/>
  <c r="M241" i="59" s="1"/>
  <c r="L242" i="59"/>
  <c r="M242" i="59" s="1"/>
  <c r="L243" i="59"/>
  <c r="M243" i="59" s="1"/>
  <c r="L244" i="59"/>
  <c r="M244" i="59" s="1"/>
  <c r="L245" i="59"/>
  <c r="M245" i="59" s="1"/>
  <c r="L248" i="59"/>
  <c r="M248" i="59" s="1"/>
  <c r="L249" i="59"/>
  <c r="M249" i="59" s="1"/>
  <c r="L250" i="59"/>
  <c r="M250" i="59" s="1"/>
  <c r="L251" i="59"/>
  <c r="M251" i="59" s="1"/>
  <c r="L252" i="59"/>
  <c r="M252" i="59" s="1"/>
  <c r="L253" i="59"/>
  <c r="M253" i="59" s="1"/>
  <c r="L256" i="59"/>
  <c r="M256" i="59" s="1"/>
  <c r="L257" i="59"/>
  <c r="M257" i="59" s="1"/>
  <c r="L258" i="59"/>
  <c r="M258" i="59" s="1"/>
  <c r="L259" i="59"/>
  <c r="M259" i="59" s="1"/>
  <c r="L260" i="59"/>
  <c r="M260" i="59" s="1"/>
  <c r="L261" i="59"/>
  <c r="M261" i="59" s="1"/>
  <c r="L264" i="59"/>
  <c r="M264" i="59" s="1"/>
  <c r="L265" i="59"/>
  <c r="M265" i="59" s="1"/>
  <c r="L266" i="59"/>
  <c r="M266" i="59" s="1"/>
  <c r="L267" i="59"/>
  <c r="M267" i="59" s="1"/>
  <c r="L268" i="59"/>
  <c r="M268" i="59" s="1"/>
  <c r="L269" i="59"/>
  <c r="M269" i="59" s="1"/>
  <c r="L272" i="59"/>
  <c r="M272" i="59" s="1"/>
  <c r="L273" i="59"/>
  <c r="M273" i="59" s="1"/>
  <c r="L274" i="59"/>
  <c r="M274" i="59" s="1"/>
  <c r="L275" i="59"/>
  <c r="M275" i="59" s="1"/>
  <c r="L276" i="59"/>
  <c r="M276" i="59" s="1"/>
  <c r="L277" i="59"/>
  <c r="M277" i="59" s="1"/>
  <c r="L280" i="59"/>
  <c r="M280" i="59" s="1"/>
  <c r="L281" i="59"/>
  <c r="M281" i="59" s="1"/>
  <c r="L282" i="59"/>
  <c r="M282" i="59" s="1"/>
  <c r="L283" i="59"/>
  <c r="M283" i="59" s="1"/>
  <c r="L284" i="59"/>
  <c r="M284" i="59" s="1"/>
  <c r="L285" i="59"/>
  <c r="M285" i="59" s="1"/>
  <c r="L286" i="59"/>
  <c r="M286" i="59" s="1"/>
  <c r="L288" i="59"/>
  <c r="M288" i="59" s="1"/>
  <c r="L289" i="59"/>
  <c r="M289" i="59" s="1"/>
  <c r="L290" i="59"/>
  <c r="M290" i="59" s="1"/>
  <c r="L291" i="59"/>
  <c r="M291" i="59" s="1"/>
  <c r="L292" i="59"/>
  <c r="M292" i="59" s="1"/>
  <c r="L293" i="59"/>
  <c r="M293" i="59" s="1"/>
  <c r="L296" i="59"/>
  <c r="M296" i="59" s="1"/>
  <c r="L297" i="59"/>
  <c r="M297" i="59" s="1"/>
  <c r="L298" i="59"/>
  <c r="M298" i="59" s="1"/>
  <c r="L299" i="59"/>
  <c r="M299" i="59" s="1"/>
  <c r="L300" i="59"/>
  <c r="M300" i="59" s="1"/>
  <c r="L301" i="59"/>
  <c r="M301" i="59" s="1"/>
  <c r="L304" i="59"/>
  <c r="M304" i="59" s="1"/>
  <c r="L305" i="59"/>
  <c r="M305" i="59" s="1"/>
  <c r="L306" i="59"/>
  <c r="M306" i="59" s="1"/>
  <c r="L307" i="59"/>
  <c r="M307" i="59" s="1"/>
  <c r="L308" i="59"/>
  <c r="M308" i="59" s="1"/>
  <c r="L309" i="59"/>
  <c r="M309" i="59" s="1"/>
  <c r="L312" i="59"/>
  <c r="M312" i="59" s="1"/>
  <c r="L313" i="59"/>
  <c r="M313" i="59" s="1"/>
  <c r="L314" i="59"/>
  <c r="M314" i="59" s="1"/>
  <c r="L315" i="59"/>
  <c r="M315" i="59" s="1"/>
  <c r="L316" i="59"/>
  <c r="M316" i="59" s="1"/>
  <c r="L317" i="59"/>
  <c r="M317" i="59" s="1"/>
  <c r="L320" i="59"/>
  <c r="M320" i="59" s="1"/>
  <c r="L321" i="59"/>
  <c r="M321" i="59" s="1"/>
  <c r="L322" i="59"/>
  <c r="M322" i="59" s="1"/>
  <c r="L323" i="59"/>
  <c r="M323" i="59" s="1"/>
  <c r="L324" i="59"/>
  <c r="M324" i="59" s="1"/>
  <c r="L325" i="59"/>
  <c r="M325" i="59" s="1"/>
  <c r="L328" i="59"/>
  <c r="M328" i="59" s="1"/>
  <c r="L329" i="59"/>
  <c r="M329" i="59" s="1"/>
  <c r="L330" i="59"/>
  <c r="M330" i="59" s="1"/>
  <c r="L331" i="59"/>
  <c r="M331" i="59" s="1"/>
  <c r="L332" i="59"/>
  <c r="M332" i="59" s="1"/>
  <c r="L333" i="59"/>
  <c r="M333" i="59" s="1"/>
  <c r="L336" i="59"/>
  <c r="M336" i="59" s="1"/>
  <c r="L337" i="59"/>
  <c r="M337" i="59" s="1"/>
  <c r="L338" i="59"/>
  <c r="M338" i="59" s="1"/>
  <c r="L339" i="59"/>
  <c r="M339" i="59" s="1"/>
  <c r="L340" i="59"/>
  <c r="M340" i="59" s="1"/>
  <c r="L341" i="59"/>
  <c r="M341" i="59" s="1"/>
  <c r="L344" i="59"/>
  <c r="M344" i="59" s="1"/>
  <c r="L345" i="59"/>
  <c r="M345" i="59" s="1"/>
  <c r="L346" i="59"/>
  <c r="M346" i="59" s="1"/>
  <c r="L347" i="59"/>
  <c r="M347" i="59" s="1"/>
  <c r="L348" i="59"/>
  <c r="M348" i="59" s="1"/>
  <c r="L349" i="59"/>
  <c r="M349" i="59" s="1"/>
  <c r="L350" i="59"/>
  <c r="M350" i="59" s="1"/>
  <c r="L352" i="59"/>
  <c r="M352" i="59" s="1"/>
  <c r="L353" i="59"/>
  <c r="M353" i="59" s="1"/>
  <c r="L354" i="59"/>
  <c r="M354" i="59" s="1"/>
  <c r="L355" i="59"/>
  <c r="M355" i="59" s="1"/>
  <c r="L356" i="59"/>
  <c r="M356" i="59" s="1"/>
  <c r="L357" i="59"/>
  <c r="M357" i="59" s="1"/>
  <c r="L360" i="59"/>
  <c r="M360" i="59" s="1"/>
  <c r="L361" i="59"/>
  <c r="M361" i="59" s="1"/>
  <c r="L362" i="59"/>
  <c r="M362" i="59" s="1"/>
  <c r="L363" i="59"/>
  <c r="M363" i="59" s="1"/>
  <c r="L364" i="59"/>
  <c r="M364" i="59" s="1"/>
  <c r="L365" i="59"/>
  <c r="M365" i="59" s="1"/>
  <c r="L368" i="59"/>
  <c r="M368" i="59" s="1"/>
  <c r="L369" i="59"/>
  <c r="M369" i="59" s="1"/>
  <c r="L370" i="59"/>
  <c r="M370" i="59" s="1"/>
  <c r="L371" i="59"/>
  <c r="M371" i="59" s="1"/>
  <c r="L372" i="59"/>
  <c r="M372" i="59" s="1"/>
  <c r="L373" i="59"/>
  <c r="M373" i="59" s="1"/>
  <c r="L376" i="59"/>
  <c r="M376" i="59" s="1"/>
  <c r="L377" i="59"/>
  <c r="M377" i="59" s="1"/>
  <c r="L378" i="59"/>
  <c r="M378" i="59" s="1"/>
  <c r="L379" i="59"/>
  <c r="M379" i="59" s="1"/>
  <c r="L380" i="59"/>
  <c r="M380" i="59" s="1"/>
  <c r="L381" i="59"/>
  <c r="M381" i="59" s="1"/>
  <c r="L384" i="59"/>
  <c r="M384" i="59" s="1"/>
  <c r="L385" i="59"/>
  <c r="M385" i="59" s="1"/>
  <c r="L386" i="59"/>
  <c r="M386" i="59" s="1"/>
  <c r="L387" i="59"/>
  <c r="M387" i="59" s="1"/>
  <c r="L388" i="59"/>
  <c r="M388" i="59" s="1"/>
  <c r="L389" i="59"/>
  <c r="M389" i="59" s="1"/>
  <c r="L392" i="59"/>
  <c r="M392" i="59" s="1"/>
  <c r="L393" i="59"/>
  <c r="M393" i="59" s="1"/>
  <c r="L394" i="59"/>
  <c r="M394" i="59" s="1"/>
  <c r="L395" i="59"/>
  <c r="M395" i="59" s="1"/>
  <c r="L396" i="59"/>
  <c r="M396" i="59" s="1"/>
  <c r="L397" i="59"/>
  <c r="M397" i="59" s="1"/>
  <c r="L400" i="59"/>
  <c r="M400" i="59" s="1"/>
  <c r="L401" i="59"/>
  <c r="M401" i="59" s="1"/>
  <c r="L402" i="59"/>
  <c r="M402" i="59" s="1"/>
  <c r="L403" i="59"/>
  <c r="M403" i="59" s="1"/>
  <c r="L404" i="59"/>
  <c r="M404" i="59" s="1"/>
  <c r="L405" i="59"/>
  <c r="M405" i="59" s="1"/>
  <c r="L408" i="59"/>
  <c r="M408" i="59" s="1"/>
  <c r="L409" i="59"/>
  <c r="M409" i="59" s="1"/>
  <c r="L410" i="59"/>
  <c r="M410" i="59" s="1"/>
  <c r="L411" i="59"/>
  <c r="M411" i="59" s="1"/>
  <c r="L412" i="59"/>
  <c r="M412" i="59" s="1"/>
  <c r="L413" i="59"/>
  <c r="M413" i="59" s="1"/>
  <c r="L414" i="59"/>
  <c r="M414" i="59" s="1"/>
  <c r="L416" i="59"/>
  <c r="M416" i="59" s="1"/>
  <c r="L417" i="59"/>
  <c r="M417" i="59" s="1"/>
  <c r="L418" i="59"/>
  <c r="M418" i="59" s="1"/>
  <c r="L419" i="59"/>
  <c r="M419" i="59" s="1"/>
  <c r="L420" i="59"/>
  <c r="M420" i="59" s="1"/>
  <c r="L421" i="59"/>
  <c r="M421" i="59" s="1"/>
  <c r="L424" i="59"/>
  <c r="M424" i="59" s="1"/>
  <c r="L425" i="59"/>
  <c r="M425" i="59" s="1"/>
  <c r="L426" i="59"/>
  <c r="M426" i="59" s="1"/>
  <c r="L427" i="59"/>
  <c r="M427" i="59" s="1"/>
  <c r="L428" i="59"/>
  <c r="M428" i="59" s="1"/>
  <c r="L429" i="59"/>
  <c r="M429" i="59" s="1"/>
  <c r="L432" i="59"/>
  <c r="M432" i="59" s="1"/>
  <c r="L433" i="59"/>
  <c r="M433" i="59" s="1"/>
  <c r="L434" i="59"/>
  <c r="M434" i="59" s="1"/>
  <c r="L435" i="59"/>
  <c r="M435" i="59" s="1"/>
  <c r="L436" i="59"/>
  <c r="M436" i="59" s="1"/>
  <c r="L437" i="59"/>
  <c r="M437" i="59" s="1"/>
  <c r="L440" i="59"/>
  <c r="M440" i="59" s="1"/>
  <c r="L441" i="59"/>
  <c r="M441" i="59" s="1"/>
  <c r="L442" i="59"/>
  <c r="M442" i="59" s="1"/>
  <c r="L443" i="59"/>
  <c r="M443" i="59" s="1"/>
  <c r="L444" i="59"/>
  <c r="M444" i="59" s="1"/>
  <c r="L445" i="59"/>
  <c r="M445" i="59" s="1"/>
  <c r="L448" i="59"/>
  <c r="M448" i="59" s="1"/>
  <c r="L449" i="59"/>
  <c r="M449" i="59" s="1"/>
  <c r="L450" i="59"/>
  <c r="M450" i="59" s="1"/>
  <c r="L451" i="59"/>
  <c r="M451" i="59" s="1"/>
  <c r="L452" i="59"/>
  <c r="M452" i="59" s="1"/>
  <c r="L453" i="59"/>
  <c r="M453" i="59" s="1"/>
  <c r="L456" i="59"/>
  <c r="M456" i="59" s="1"/>
  <c r="L457" i="59"/>
  <c r="M457" i="59" s="1"/>
  <c r="L458" i="59"/>
  <c r="M458" i="59" s="1"/>
  <c r="L459" i="59"/>
  <c r="M459" i="59" s="1"/>
  <c r="L460" i="59"/>
  <c r="M460" i="59" s="1"/>
  <c r="L461" i="59"/>
  <c r="M461" i="59" s="1"/>
  <c r="L464" i="59"/>
  <c r="M464" i="59" s="1"/>
  <c r="L465" i="59"/>
  <c r="M465" i="59" s="1"/>
  <c r="L466" i="59"/>
  <c r="M466" i="59" s="1"/>
  <c r="L467" i="59"/>
  <c r="M467" i="59" s="1"/>
  <c r="L468" i="59"/>
  <c r="M468" i="59" s="1"/>
  <c r="L469" i="59"/>
  <c r="M469" i="59" s="1"/>
  <c r="L472" i="59"/>
  <c r="M472" i="59" s="1"/>
  <c r="L473" i="59"/>
  <c r="M473" i="59" s="1"/>
  <c r="L474" i="59"/>
  <c r="M474" i="59" s="1"/>
  <c r="L475" i="59"/>
  <c r="M475" i="59" s="1"/>
  <c r="L476" i="59"/>
  <c r="M476" i="59" s="1"/>
  <c r="L477" i="59"/>
  <c r="M477" i="59" s="1"/>
  <c r="L478" i="59"/>
  <c r="M478" i="59" s="1"/>
  <c r="L480" i="59"/>
  <c r="M480" i="59" s="1"/>
  <c r="L481" i="59"/>
  <c r="M481" i="59" s="1"/>
  <c r="L482" i="59"/>
  <c r="M482" i="59" s="1"/>
  <c r="L483" i="59"/>
  <c r="M483" i="59" s="1"/>
  <c r="L484" i="59"/>
  <c r="M484" i="59" s="1"/>
  <c r="L485" i="59"/>
  <c r="M485" i="59" s="1"/>
  <c r="L488" i="59"/>
  <c r="M488" i="59" s="1"/>
  <c r="L489" i="59"/>
  <c r="M489" i="59" s="1"/>
  <c r="L490" i="59"/>
  <c r="M490" i="59" s="1"/>
  <c r="L491" i="59"/>
  <c r="M491" i="59" s="1"/>
  <c r="L492" i="59"/>
  <c r="M492" i="59" s="1"/>
  <c r="L493" i="59"/>
  <c r="M493" i="59" s="1"/>
  <c r="L496" i="59"/>
  <c r="M496" i="59" s="1"/>
  <c r="L497" i="59"/>
  <c r="M497" i="59" s="1"/>
  <c r="L498" i="59"/>
  <c r="M498" i="59" s="1"/>
  <c r="L499" i="59"/>
  <c r="M499" i="59" s="1"/>
  <c r="L500" i="59"/>
  <c r="M500" i="59" s="1"/>
  <c r="L501" i="59"/>
  <c r="M501" i="59" s="1"/>
  <c r="L504" i="59"/>
  <c r="M504" i="59" s="1"/>
  <c r="L505" i="59"/>
  <c r="M505" i="59" s="1"/>
  <c r="L506" i="59"/>
  <c r="M506" i="59" s="1"/>
  <c r="L507" i="59"/>
  <c r="M507" i="59" s="1"/>
  <c r="L7" i="59"/>
  <c r="M7" i="59" s="1"/>
  <c r="AK503" i="59" l="1"/>
  <c r="AK495" i="59"/>
  <c r="AK470" i="59"/>
  <c r="AK478" i="59"/>
  <c r="AK486" i="59"/>
  <c r="AK487" i="59"/>
  <c r="AK479" i="59"/>
  <c r="AK471" i="59"/>
  <c r="AK463" i="59"/>
  <c r="AK455" i="59"/>
  <c r="AK447" i="59"/>
  <c r="AK439" i="59"/>
  <c r="AK431" i="59"/>
  <c r="AK423" i="59"/>
  <c r="AK415" i="59"/>
  <c r="AK407" i="59"/>
  <c r="AK399" i="59"/>
  <c r="AK391" i="59"/>
  <c r="AK383" i="59"/>
  <c r="AK446" i="59"/>
  <c r="AK406" i="59"/>
  <c r="AK382" i="59"/>
  <c r="AK374" i="59"/>
  <c r="AK366" i="59"/>
  <c r="AK358" i="59"/>
  <c r="AK350" i="59"/>
  <c r="AK342" i="59"/>
  <c r="AK506" i="59"/>
  <c r="AK250" i="59"/>
  <c r="AK202" i="59"/>
  <c r="AK430" i="59"/>
  <c r="AK493" i="59"/>
  <c r="AK453" i="59"/>
  <c r="AK413" i="59"/>
  <c r="AK373" i="59"/>
  <c r="AK333" i="59"/>
  <c r="AK309" i="59"/>
  <c r="AK269" i="59"/>
  <c r="AK229" i="59"/>
  <c r="AK462" i="59"/>
  <c r="AK422" i="59"/>
  <c r="AK398" i="59"/>
  <c r="AK485" i="59"/>
  <c r="AK445" i="59"/>
  <c r="AK405" i="59"/>
  <c r="AK357" i="59"/>
  <c r="AK317" i="59"/>
  <c r="AK293" i="59"/>
  <c r="AK253" i="59"/>
  <c r="AK237" i="59"/>
  <c r="AK213" i="59"/>
  <c r="AK501" i="59"/>
  <c r="AK461" i="59"/>
  <c r="AK429" i="59"/>
  <c r="AK397" i="59"/>
  <c r="AK365" i="59"/>
  <c r="AK325" i="59"/>
  <c r="AK301" i="59"/>
  <c r="AK261" i="59"/>
  <c r="AK245" i="59"/>
  <c r="AK221" i="59"/>
  <c r="AK454" i="59"/>
  <c r="AK414" i="59"/>
  <c r="AK390" i="59"/>
  <c r="AK469" i="59"/>
  <c r="AK421" i="59"/>
  <c r="AK381" i="59"/>
  <c r="AK341" i="59"/>
  <c r="AK285" i="59"/>
  <c r="AK438" i="59"/>
  <c r="AK477" i="59"/>
  <c r="AK437" i="59"/>
  <c r="AK389" i="59"/>
  <c r="AK349" i="59"/>
  <c r="AK277" i="59"/>
  <c r="AK205" i="59"/>
  <c r="AK165" i="59"/>
  <c r="AK125" i="59"/>
  <c r="AK85" i="59"/>
  <c r="AK45" i="59"/>
  <c r="AK186" i="59"/>
  <c r="AK500" i="59"/>
  <c r="AK492" i="59"/>
  <c r="AK484" i="59"/>
  <c r="AK476" i="59"/>
  <c r="AK468" i="59"/>
  <c r="AK460" i="59"/>
  <c r="AK452" i="59"/>
  <c r="AK436" i="59"/>
  <c r="AK428" i="59"/>
  <c r="AK420" i="59"/>
  <c r="AK412" i="59"/>
  <c r="AK404" i="59"/>
  <c r="AK396" i="59"/>
  <c r="AK388" i="59"/>
  <c r="AK380" i="59"/>
  <c r="AK372" i="59"/>
  <c r="AK364" i="59"/>
  <c r="AK356" i="59"/>
  <c r="AK348" i="59"/>
  <c r="AK340" i="59"/>
  <c r="AK332" i="59"/>
  <c r="AK324" i="59"/>
  <c r="AK316" i="59"/>
  <c r="AK308" i="59"/>
  <c r="AK300" i="59"/>
  <c r="AK292" i="59"/>
  <c r="AK284" i="59"/>
  <c r="AK276" i="59"/>
  <c r="AK268" i="59"/>
  <c r="AK260" i="59"/>
  <c r="AK244" i="59"/>
  <c r="AK236" i="59"/>
  <c r="AK228" i="59"/>
  <c r="AK220" i="59"/>
  <c r="AK212" i="59"/>
  <c r="AK204" i="59"/>
  <c r="AK196" i="59"/>
  <c r="AK188" i="59"/>
  <c r="AK180" i="59"/>
  <c r="AK172" i="59"/>
  <c r="AK164" i="59"/>
  <c r="AK156" i="59"/>
  <c r="AK148" i="59"/>
  <c r="AK140" i="59"/>
  <c r="AK132" i="59"/>
  <c r="AK124" i="59"/>
  <c r="AK116" i="59"/>
  <c r="AK108" i="59"/>
  <c r="AK100" i="59"/>
  <c r="AK92" i="59"/>
  <c r="AK84" i="59"/>
  <c r="AK76" i="59"/>
  <c r="AK68" i="59"/>
  <c r="AK60" i="59"/>
  <c r="AK52" i="59"/>
  <c r="AK44" i="59"/>
  <c r="AK36" i="59"/>
  <c r="AK28" i="59"/>
  <c r="AK20" i="59"/>
  <c r="AK12" i="59"/>
  <c r="AK498" i="59"/>
  <c r="AK434" i="59"/>
  <c r="AK370" i="59"/>
  <c r="AK306" i="59"/>
  <c r="AK242" i="59"/>
  <c r="AK178" i="59"/>
  <c r="AK181" i="59"/>
  <c r="AK141" i="59"/>
  <c r="AK101" i="59"/>
  <c r="AK61" i="59"/>
  <c r="AK29" i="59"/>
  <c r="AK442" i="59"/>
  <c r="AK483" i="59"/>
  <c r="AK459" i="59"/>
  <c r="AK427" i="59"/>
  <c r="AK395" i="59"/>
  <c r="AK371" i="59"/>
  <c r="AK347" i="59"/>
  <c r="AK323" i="59"/>
  <c r="AK299" i="59"/>
  <c r="AK275" i="59"/>
  <c r="AK251" i="59"/>
  <c r="AK235" i="59"/>
  <c r="AK219" i="59"/>
  <c r="AK203" i="59"/>
  <c r="AK195" i="59"/>
  <c r="AK187" i="59"/>
  <c r="AK179" i="59"/>
  <c r="AK171" i="59"/>
  <c r="AK163" i="59"/>
  <c r="AK155" i="59"/>
  <c r="AK147" i="59"/>
  <c r="AK139" i="59"/>
  <c r="AK131" i="59"/>
  <c r="AK123" i="59"/>
  <c r="AK115" i="59"/>
  <c r="AK107" i="59"/>
  <c r="AK99" i="59"/>
  <c r="AK91" i="59"/>
  <c r="AK83" i="59"/>
  <c r="AK75" i="59"/>
  <c r="AK67" i="59"/>
  <c r="AK59" i="59"/>
  <c r="AK51" i="59"/>
  <c r="AK43" i="59"/>
  <c r="AK35" i="59"/>
  <c r="AK27" i="59"/>
  <c r="AK19" i="59"/>
  <c r="AK11" i="59"/>
  <c r="AK490" i="59"/>
  <c r="AK426" i="59"/>
  <c r="AK362" i="59"/>
  <c r="AK298" i="59"/>
  <c r="AK234" i="59"/>
  <c r="AK170" i="59"/>
  <c r="AK189" i="59"/>
  <c r="AK149" i="59"/>
  <c r="AK109" i="59"/>
  <c r="AK69" i="59"/>
  <c r="AK21" i="59"/>
  <c r="AK378" i="59"/>
  <c r="AK491" i="59"/>
  <c r="AK467" i="59"/>
  <c r="AK435" i="59"/>
  <c r="AK403" i="59"/>
  <c r="AK379" i="59"/>
  <c r="AK355" i="59"/>
  <c r="AK331" i="59"/>
  <c r="AK307" i="59"/>
  <c r="AK283" i="59"/>
  <c r="AK259" i="59"/>
  <c r="AK243" i="59"/>
  <c r="AK211" i="59"/>
  <c r="AK482" i="59"/>
  <c r="AK418" i="59"/>
  <c r="AK354" i="59"/>
  <c r="AK290" i="59"/>
  <c r="AK226" i="59"/>
  <c r="AK173" i="59"/>
  <c r="AK133" i="59"/>
  <c r="AK93" i="59"/>
  <c r="AK53" i="59"/>
  <c r="AK13" i="59"/>
  <c r="AK314" i="59"/>
  <c r="AK499" i="59"/>
  <c r="AK475" i="59"/>
  <c r="AK443" i="59"/>
  <c r="AK411" i="59"/>
  <c r="AK387" i="59"/>
  <c r="AK363" i="59"/>
  <c r="AK339" i="59"/>
  <c r="AK315" i="59"/>
  <c r="AK291" i="59"/>
  <c r="AK267" i="59"/>
  <c r="AK227" i="59"/>
  <c r="AK505" i="59"/>
  <c r="AK497" i="59"/>
  <c r="AK489" i="59"/>
  <c r="AK481" i="59"/>
  <c r="AK473" i="59"/>
  <c r="AK465" i="59"/>
  <c r="AK457" i="59"/>
  <c r="AK449" i="59"/>
  <c r="AK441" i="59"/>
  <c r="AK433" i="59"/>
  <c r="AK425" i="59"/>
  <c r="AK417" i="59"/>
  <c r="AK409" i="59"/>
  <c r="AK401" i="59"/>
  <c r="AK393" i="59"/>
  <c r="AK385" i="59"/>
  <c r="AK377" i="59"/>
  <c r="AK369" i="59"/>
  <c r="AK361" i="59"/>
  <c r="AK353" i="59"/>
  <c r="AK345" i="59"/>
  <c r="AK337" i="59"/>
  <c r="AK329" i="59"/>
  <c r="AK321" i="59"/>
  <c r="AK313" i="59"/>
  <c r="AK305" i="59"/>
  <c r="AK297" i="59"/>
  <c r="AK289" i="59"/>
  <c r="AK281" i="59"/>
  <c r="AK273" i="59"/>
  <c r="AK265" i="59"/>
  <c r="AK257" i="59"/>
  <c r="AK249" i="59"/>
  <c r="AK241" i="59"/>
  <c r="AK233" i="59"/>
  <c r="AK225" i="59"/>
  <c r="AK217" i="59"/>
  <c r="AK209" i="59"/>
  <c r="AK201" i="59"/>
  <c r="AK193" i="59"/>
  <c r="AK185" i="59"/>
  <c r="AK177" i="59"/>
  <c r="AK169" i="59"/>
  <c r="AK161" i="59"/>
  <c r="AK153" i="59"/>
  <c r="AK145" i="59"/>
  <c r="AK137" i="59"/>
  <c r="AK129" i="59"/>
  <c r="AK121" i="59"/>
  <c r="AK113" i="59"/>
  <c r="AK105" i="59"/>
  <c r="AK97" i="59"/>
  <c r="AK89" i="59"/>
  <c r="AK81" i="59"/>
  <c r="AK73" i="59"/>
  <c r="AK65" i="59"/>
  <c r="AK57" i="59"/>
  <c r="AK49" i="59"/>
  <c r="AK41" i="59"/>
  <c r="AK33" i="59"/>
  <c r="AK25" i="59"/>
  <c r="AK17" i="59"/>
  <c r="AK9" i="59"/>
  <c r="AK474" i="59"/>
  <c r="AK410" i="59"/>
  <c r="AK346" i="59"/>
  <c r="AK282" i="59"/>
  <c r="AK218" i="59"/>
  <c r="AK197" i="59"/>
  <c r="AK157" i="59"/>
  <c r="AK117" i="59"/>
  <c r="AK77" i="59"/>
  <c r="AK37" i="59"/>
  <c r="AK504" i="59"/>
  <c r="AK496" i="59"/>
  <c r="AK488" i="59"/>
  <c r="AK480" i="59"/>
  <c r="AK472" i="59"/>
  <c r="AK464" i="59"/>
  <c r="AK456" i="59"/>
  <c r="AK448" i="59"/>
  <c r="AK440" i="59"/>
  <c r="AK432" i="59"/>
  <c r="AK424" i="59"/>
  <c r="AK416" i="59"/>
  <c r="AK408" i="59"/>
  <c r="AK400" i="59"/>
  <c r="AK392" i="59"/>
  <c r="AK384" i="59"/>
  <c r="AK376" i="59"/>
  <c r="AK368" i="59"/>
  <c r="AK360" i="59"/>
  <c r="AK352" i="59"/>
  <c r="AK344" i="59"/>
  <c r="AK336" i="59"/>
  <c r="AK328" i="59"/>
  <c r="AK320" i="59"/>
  <c r="AK312" i="59"/>
  <c r="AK304" i="59"/>
  <c r="AK296" i="59"/>
  <c r="AK288" i="59"/>
  <c r="AK280" i="59"/>
  <c r="AK272" i="59"/>
  <c r="AK264" i="59"/>
  <c r="AK256" i="59"/>
  <c r="AK248" i="59"/>
  <c r="AK240" i="59"/>
  <c r="AK232" i="59"/>
  <c r="AK224" i="59"/>
  <c r="AK216" i="59"/>
  <c r="AK208" i="59"/>
  <c r="AK200" i="59"/>
  <c r="AK192" i="59"/>
  <c r="AK184" i="59"/>
  <c r="AK176" i="59"/>
  <c r="AK168" i="59"/>
  <c r="AK160" i="59"/>
  <c r="AK152" i="59"/>
  <c r="AK144" i="59"/>
  <c r="AK136" i="59"/>
  <c r="AK128" i="59"/>
  <c r="AK120" i="59"/>
  <c r="AK112" i="59"/>
  <c r="AK104" i="59"/>
  <c r="AK96" i="59"/>
  <c r="AK88" i="59"/>
  <c r="AK72" i="59"/>
  <c r="AK64" i="59"/>
  <c r="AK56" i="59"/>
  <c r="AK48" i="59"/>
  <c r="AK40" i="59"/>
  <c r="AK32" i="59"/>
  <c r="AK24" i="59"/>
  <c r="AK16" i="59"/>
  <c r="AK8" i="59"/>
  <c r="AK466" i="59"/>
  <c r="AK402" i="59"/>
  <c r="AK338" i="59"/>
  <c r="AK274" i="59"/>
  <c r="AK210" i="59"/>
  <c r="AK375" i="59"/>
  <c r="AK367" i="59"/>
  <c r="AK359" i="59"/>
  <c r="AK351" i="59"/>
  <c r="AK343" i="59"/>
  <c r="AK335" i="59"/>
  <c r="AK327" i="59"/>
  <c r="AK319" i="59"/>
  <c r="AK311" i="59"/>
  <c r="AK303" i="59"/>
  <c r="AK295" i="59"/>
  <c r="AK287" i="59"/>
  <c r="AK279" i="59"/>
  <c r="AK271" i="59"/>
  <c r="AK263" i="59"/>
  <c r="AK255" i="59"/>
  <c r="AK247" i="59"/>
  <c r="AK239" i="59"/>
  <c r="AK231" i="59"/>
  <c r="AK223" i="59"/>
  <c r="AK215" i="59"/>
  <c r="AK207" i="59"/>
  <c r="AK199" i="59"/>
  <c r="AK191" i="59"/>
  <c r="AK183" i="59"/>
  <c r="AK175" i="59"/>
  <c r="AK167" i="59"/>
  <c r="AK159" i="59"/>
  <c r="AK151" i="59"/>
  <c r="AK143" i="59"/>
  <c r="AK135" i="59"/>
  <c r="AK127" i="59"/>
  <c r="AK119" i="59"/>
  <c r="AK111" i="59"/>
  <c r="AK103" i="59"/>
  <c r="AK95" i="59"/>
  <c r="AK87" i="59"/>
  <c r="AK79" i="59"/>
  <c r="AK71" i="59"/>
  <c r="AK63" i="59"/>
  <c r="AK55" i="59"/>
  <c r="AK47" i="59"/>
  <c r="AK39" i="59"/>
  <c r="AK31" i="59"/>
  <c r="AK23" i="59"/>
  <c r="AK15" i="59"/>
  <c r="AK458" i="59"/>
  <c r="AK394" i="59"/>
  <c r="AK330" i="59"/>
  <c r="AK266" i="59"/>
  <c r="AK334" i="59"/>
  <c r="AK326" i="59"/>
  <c r="AK318" i="59"/>
  <c r="AK310" i="59"/>
  <c r="AK302" i="59"/>
  <c r="AK294" i="59"/>
  <c r="AK286" i="59"/>
  <c r="AK278" i="59"/>
  <c r="AK270" i="59"/>
  <c r="AK262" i="59"/>
  <c r="AK254" i="59"/>
  <c r="AK246" i="59"/>
  <c r="AK238" i="59"/>
  <c r="AK230" i="59"/>
  <c r="AK222" i="59"/>
  <c r="AK214" i="59"/>
  <c r="AK206" i="59"/>
  <c r="AK198" i="59"/>
  <c r="AK190" i="59"/>
  <c r="AK182" i="59"/>
  <c r="AK174" i="59"/>
  <c r="AK166" i="59"/>
  <c r="AK158" i="59"/>
  <c r="AK150" i="59"/>
  <c r="AK142" i="59"/>
  <c r="AK134" i="59"/>
  <c r="AK126" i="59"/>
  <c r="AK118" i="59"/>
  <c r="AK110" i="59"/>
  <c r="AK102" i="59"/>
  <c r="AK94" i="59"/>
  <c r="AK86" i="59"/>
  <c r="AK78" i="59"/>
  <c r="AK70" i="59"/>
  <c r="AK62" i="59"/>
  <c r="AK54" i="59"/>
  <c r="AK46" i="59"/>
  <c r="AK38" i="59"/>
  <c r="AK30" i="59"/>
  <c r="AK22" i="59"/>
  <c r="AK14" i="59"/>
  <c r="AK10" i="59"/>
  <c r="AK18" i="59"/>
  <c r="AK26" i="59"/>
  <c r="AK34" i="59"/>
  <c r="AK42" i="59"/>
  <c r="AK50" i="59"/>
  <c r="AK58" i="59"/>
  <c r="AK66" i="59"/>
  <c r="AK74" i="59"/>
  <c r="AK82" i="59"/>
  <c r="AK90" i="59"/>
  <c r="AK98" i="59"/>
  <c r="AK106" i="59"/>
  <c r="AK114" i="59"/>
  <c r="AK122" i="59"/>
  <c r="AK130" i="59"/>
  <c r="AK138" i="59"/>
  <c r="AK146" i="59"/>
  <c r="AK154" i="59"/>
  <c r="AK162" i="59"/>
  <c r="AK450" i="59"/>
  <c r="AK386" i="59"/>
  <c r="AK322" i="59"/>
  <c r="AK258" i="59"/>
  <c r="AK194" i="59"/>
  <c r="R467" i="59"/>
  <c r="S467" i="59" s="1"/>
  <c r="AK80" i="59"/>
  <c r="R427" i="59"/>
  <c r="AL427" i="59" s="1"/>
  <c r="R403" i="59"/>
  <c r="T403" i="59" s="1"/>
  <c r="AK444" i="59"/>
  <c r="AK252" i="59"/>
  <c r="AK507" i="59"/>
  <c r="AK451" i="59"/>
  <c r="AK419" i="59"/>
  <c r="BD10" i="59"/>
  <c r="BB11" i="59"/>
  <c r="AL426" i="59"/>
  <c r="AL419" i="59"/>
  <c r="AL474" i="59"/>
  <c r="AL451" i="59"/>
  <c r="AL378" i="59"/>
  <c r="AL450" i="59"/>
  <c r="S252" i="59"/>
  <c r="S218" i="59"/>
  <c r="AL218" i="59"/>
  <c r="S507" i="59"/>
  <c r="S466" i="59"/>
  <c r="S410" i="59"/>
  <c r="S402" i="59"/>
  <c r="S354" i="59"/>
  <c r="AL354" i="59"/>
  <c r="S322" i="59"/>
  <c r="AL322" i="59"/>
  <c r="S314" i="59"/>
  <c r="AL314" i="59"/>
  <c r="S282" i="59"/>
  <c r="AL282" i="59"/>
  <c r="S258" i="59"/>
  <c r="AL258" i="59"/>
  <c r="S250" i="59"/>
  <c r="AL250" i="59"/>
  <c r="S186" i="59"/>
  <c r="AL186" i="59"/>
  <c r="S138" i="59"/>
  <c r="AL138" i="59"/>
  <c r="S154" i="59"/>
  <c r="AL154" i="59"/>
  <c r="S451" i="59"/>
  <c r="S10" i="59"/>
  <c r="AL10" i="59"/>
  <c r="S419" i="59"/>
  <c r="S506" i="59"/>
  <c r="S346" i="59"/>
  <c r="AL346" i="59"/>
  <c r="S450" i="59"/>
  <c r="AL290" i="59"/>
  <c r="AL194" i="59"/>
  <c r="S26" i="59"/>
  <c r="T252" i="59"/>
  <c r="W444" i="59"/>
  <c r="R500" i="59"/>
  <c r="P492" i="59"/>
  <c r="R484" i="59"/>
  <c r="P476" i="59"/>
  <c r="Q476" i="59" s="1"/>
  <c r="P460" i="59"/>
  <c r="Q460" i="59" s="1"/>
  <c r="P364" i="59"/>
  <c r="P348" i="59"/>
  <c r="R348" i="59"/>
  <c r="U132" i="59"/>
  <c r="V132" i="59" s="1"/>
  <c r="W205" i="59"/>
  <c r="T507" i="59"/>
  <c r="T451" i="59"/>
  <c r="T419" i="59"/>
  <c r="T450" i="59"/>
  <c r="W80" i="59"/>
  <c r="P252" i="59"/>
  <c r="U252" i="59"/>
  <c r="V252" i="59" s="1"/>
  <c r="U68" i="59"/>
  <c r="V68" i="59" s="1"/>
  <c r="T290" i="59"/>
  <c r="T466" i="59"/>
  <c r="T410" i="59"/>
  <c r="T402" i="59"/>
  <c r="T354" i="59"/>
  <c r="T322" i="59"/>
  <c r="T314" i="59"/>
  <c r="T282" i="59"/>
  <c r="T258" i="59"/>
  <c r="T250" i="59"/>
  <c r="T186" i="59"/>
  <c r="T138" i="59"/>
  <c r="T218" i="59"/>
  <c r="P284" i="59"/>
  <c r="R284" i="59"/>
  <c r="R188" i="59"/>
  <c r="U148" i="59"/>
  <c r="V148" i="59" s="1"/>
  <c r="P444" i="59"/>
  <c r="Q444" i="59" s="1"/>
  <c r="R444" i="59"/>
  <c r="R436" i="59"/>
  <c r="P428" i="59"/>
  <c r="R420" i="59"/>
  <c r="P412" i="59"/>
  <c r="P396" i="59"/>
  <c r="P316" i="59"/>
  <c r="Q316" i="59" s="1"/>
  <c r="R316" i="59"/>
  <c r="U316" i="59"/>
  <c r="V316" i="59" s="1"/>
  <c r="P300" i="59"/>
  <c r="Q300" i="59" s="1"/>
  <c r="P268" i="59"/>
  <c r="R220" i="59"/>
  <c r="R212" i="59"/>
  <c r="U84" i="59"/>
  <c r="V84" i="59" s="1"/>
  <c r="U480" i="59"/>
  <c r="V480" i="59" s="1"/>
  <c r="U464" i="59"/>
  <c r="V464" i="59" s="1"/>
  <c r="U448" i="59"/>
  <c r="V448" i="59" s="1"/>
  <c r="U416" i="59"/>
  <c r="V416" i="59" s="1"/>
  <c r="U400" i="59"/>
  <c r="V400" i="59" s="1"/>
  <c r="U384" i="59"/>
  <c r="V384" i="59" s="1"/>
  <c r="U352" i="59"/>
  <c r="V352" i="59" s="1"/>
  <c r="U336" i="59"/>
  <c r="V336" i="59" s="1"/>
  <c r="U320" i="59"/>
  <c r="V320" i="59" s="1"/>
  <c r="U288" i="59"/>
  <c r="V288" i="59" s="1"/>
  <c r="U272" i="59"/>
  <c r="V272" i="59" s="1"/>
  <c r="U256" i="59"/>
  <c r="V256" i="59" s="1"/>
  <c r="U160" i="59"/>
  <c r="V160" i="59" s="1"/>
  <c r="U144" i="59"/>
  <c r="V144" i="59" s="1"/>
  <c r="U128" i="59"/>
  <c r="V128" i="59" s="1"/>
  <c r="U96" i="59"/>
  <c r="V96" i="59" s="1"/>
  <c r="U64" i="59"/>
  <c r="V64" i="59" s="1"/>
  <c r="U32" i="59"/>
  <c r="V32" i="59" s="1"/>
  <c r="U16" i="59"/>
  <c r="V16" i="59" s="1"/>
  <c r="U8" i="59"/>
  <c r="V8" i="59" s="1"/>
  <c r="T154" i="59"/>
  <c r="T346" i="59"/>
  <c r="P380" i="59"/>
  <c r="U380" i="59"/>
  <c r="V380" i="59" s="1"/>
  <c r="P332" i="59"/>
  <c r="R380" i="59"/>
  <c r="T26" i="59"/>
  <c r="T474" i="59"/>
  <c r="T506" i="59"/>
  <c r="AK7" i="59"/>
  <c r="T10" i="59"/>
  <c r="R126" i="59"/>
  <c r="R110" i="59"/>
  <c r="R62" i="59"/>
  <c r="R14" i="59"/>
  <c r="R7" i="59"/>
  <c r="R491" i="59"/>
  <c r="R482" i="59"/>
  <c r="R418" i="59"/>
  <c r="R370" i="59"/>
  <c r="R338" i="59"/>
  <c r="R306" i="59"/>
  <c r="R274" i="59"/>
  <c r="R242" i="59"/>
  <c r="R210" i="59"/>
  <c r="P194" i="59"/>
  <c r="R122" i="59"/>
  <c r="R58" i="59"/>
  <c r="R490" i="59"/>
  <c r="R443" i="59"/>
  <c r="R387" i="59"/>
  <c r="R226" i="59"/>
  <c r="R90" i="59"/>
  <c r="U209" i="59"/>
  <c r="V209" i="59" s="1"/>
  <c r="R177" i="59"/>
  <c r="R169" i="59"/>
  <c r="R483" i="59"/>
  <c r="R442" i="59"/>
  <c r="R386" i="59"/>
  <c r="R74" i="59"/>
  <c r="U178" i="59"/>
  <c r="V178" i="59" s="1"/>
  <c r="T426" i="59"/>
  <c r="T378" i="59"/>
  <c r="T194" i="59"/>
  <c r="P478" i="59"/>
  <c r="U478" i="59"/>
  <c r="V478" i="59" s="1"/>
  <c r="R478" i="59"/>
  <c r="P438" i="59"/>
  <c r="U438" i="59"/>
  <c r="V438" i="59" s="1"/>
  <c r="R438" i="59"/>
  <c r="P398" i="59"/>
  <c r="U398" i="59"/>
  <c r="V398" i="59" s="1"/>
  <c r="R398" i="59"/>
  <c r="P358" i="59"/>
  <c r="Q358" i="59" s="1"/>
  <c r="U358" i="59"/>
  <c r="V358" i="59" s="1"/>
  <c r="R358" i="59"/>
  <c r="P294" i="59"/>
  <c r="U294" i="59"/>
  <c r="V294" i="59" s="1"/>
  <c r="R294" i="59"/>
  <c r="P246" i="59"/>
  <c r="U246" i="59"/>
  <c r="V246" i="59" s="1"/>
  <c r="R246" i="59"/>
  <c r="P198" i="59"/>
  <c r="R198" i="59"/>
  <c r="U198" i="59"/>
  <c r="V198" i="59" s="1"/>
  <c r="P166" i="59"/>
  <c r="U166" i="59"/>
  <c r="V166" i="59" s="1"/>
  <c r="P134" i="59"/>
  <c r="U134" i="59"/>
  <c r="V134" i="59" s="1"/>
  <c r="R134" i="59"/>
  <c r="P86" i="59"/>
  <c r="U86" i="59"/>
  <c r="V86" i="59" s="1"/>
  <c r="R86" i="59"/>
  <c r="P38" i="59"/>
  <c r="U38" i="59"/>
  <c r="V38" i="59" s="1"/>
  <c r="R38" i="59"/>
  <c r="P501" i="59"/>
  <c r="Q501" i="59" s="1"/>
  <c r="R501" i="59"/>
  <c r="U501" i="59"/>
  <c r="V501" i="59" s="1"/>
  <c r="P493" i="59"/>
  <c r="R493" i="59"/>
  <c r="U493" i="59"/>
  <c r="V493" i="59" s="1"/>
  <c r="P485" i="59"/>
  <c r="R485" i="59"/>
  <c r="U485" i="59"/>
  <c r="V485" i="59" s="1"/>
  <c r="P477" i="59"/>
  <c r="Q477" i="59" s="1"/>
  <c r="R477" i="59"/>
  <c r="U477" i="59"/>
  <c r="V477" i="59" s="1"/>
  <c r="P469" i="59"/>
  <c r="R469" i="59"/>
  <c r="U469" i="59"/>
  <c r="V469" i="59" s="1"/>
  <c r="P461" i="59"/>
  <c r="R461" i="59"/>
  <c r="U461" i="59"/>
  <c r="V461" i="59" s="1"/>
  <c r="P453" i="59"/>
  <c r="R453" i="59"/>
  <c r="U453" i="59"/>
  <c r="V453" i="59" s="1"/>
  <c r="P445" i="59"/>
  <c r="R445" i="59"/>
  <c r="U445" i="59"/>
  <c r="V445" i="59" s="1"/>
  <c r="P437" i="59"/>
  <c r="Q437" i="59" s="1"/>
  <c r="R437" i="59"/>
  <c r="U437" i="59"/>
  <c r="V437" i="59" s="1"/>
  <c r="P429" i="59"/>
  <c r="R429" i="59"/>
  <c r="U429" i="59"/>
  <c r="V429" i="59" s="1"/>
  <c r="P421" i="59"/>
  <c r="R421" i="59"/>
  <c r="U421" i="59"/>
  <c r="V421" i="59" s="1"/>
  <c r="P413" i="59"/>
  <c r="Q413" i="59" s="1"/>
  <c r="R413" i="59"/>
  <c r="U413" i="59"/>
  <c r="V413" i="59" s="1"/>
  <c r="P405" i="59"/>
  <c r="R405" i="59"/>
  <c r="U405" i="59"/>
  <c r="V405" i="59" s="1"/>
  <c r="P397" i="59"/>
  <c r="Q397" i="59" s="1"/>
  <c r="R397" i="59"/>
  <c r="U397" i="59"/>
  <c r="V397" i="59" s="1"/>
  <c r="P389" i="59"/>
  <c r="R389" i="59"/>
  <c r="U389" i="59"/>
  <c r="V389" i="59" s="1"/>
  <c r="P381" i="59"/>
  <c r="R381" i="59"/>
  <c r="U381" i="59"/>
  <c r="V381" i="59" s="1"/>
  <c r="P373" i="59"/>
  <c r="Q373" i="59" s="1"/>
  <c r="R373" i="59"/>
  <c r="U373" i="59"/>
  <c r="V373" i="59" s="1"/>
  <c r="P365" i="59"/>
  <c r="R365" i="59"/>
  <c r="U365" i="59"/>
  <c r="V365" i="59" s="1"/>
  <c r="P357" i="59"/>
  <c r="R357" i="59"/>
  <c r="U357" i="59"/>
  <c r="V357" i="59" s="1"/>
  <c r="P349" i="59"/>
  <c r="Q349" i="59" s="1"/>
  <c r="R349" i="59"/>
  <c r="U349" i="59"/>
  <c r="V349" i="59" s="1"/>
  <c r="P341" i="59"/>
  <c r="R341" i="59"/>
  <c r="U341" i="59"/>
  <c r="V341" i="59" s="1"/>
  <c r="P333" i="59"/>
  <c r="R333" i="59"/>
  <c r="U333" i="59"/>
  <c r="V333" i="59" s="1"/>
  <c r="P325" i="59"/>
  <c r="R325" i="59"/>
  <c r="U325" i="59"/>
  <c r="V325" i="59" s="1"/>
  <c r="P317" i="59"/>
  <c r="R317" i="59"/>
  <c r="U317" i="59"/>
  <c r="V317" i="59" s="1"/>
  <c r="P309" i="59"/>
  <c r="R309" i="59"/>
  <c r="U309" i="59"/>
  <c r="V309" i="59" s="1"/>
  <c r="P301" i="59"/>
  <c r="R301" i="59"/>
  <c r="U301" i="59"/>
  <c r="V301" i="59" s="1"/>
  <c r="P293" i="59"/>
  <c r="R293" i="59"/>
  <c r="U293" i="59"/>
  <c r="V293" i="59" s="1"/>
  <c r="P285" i="59"/>
  <c r="Q285" i="59" s="1"/>
  <c r="R285" i="59"/>
  <c r="U285" i="59"/>
  <c r="V285" i="59" s="1"/>
  <c r="P277" i="59"/>
  <c r="R277" i="59"/>
  <c r="U277" i="59"/>
  <c r="V277" i="59" s="1"/>
  <c r="P269" i="59"/>
  <c r="R269" i="59"/>
  <c r="U269" i="59"/>
  <c r="V269" i="59" s="1"/>
  <c r="P261" i="59"/>
  <c r="R261" i="59"/>
  <c r="U261" i="59"/>
  <c r="V261" i="59" s="1"/>
  <c r="P253" i="59"/>
  <c r="R253" i="59"/>
  <c r="U253" i="59"/>
  <c r="V253" i="59" s="1"/>
  <c r="P245" i="59"/>
  <c r="Q245" i="59" s="1"/>
  <c r="R245" i="59"/>
  <c r="U245" i="59"/>
  <c r="V245" i="59" s="1"/>
  <c r="P237" i="59"/>
  <c r="R237" i="59"/>
  <c r="U237" i="59"/>
  <c r="V237" i="59" s="1"/>
  <c r="P229" i="59"/>
  <c r="R229" i="59"/>
  <c r="U229" i="59"/>
  <c r="V229" i="59" s="1"/>
  <c r="P221" i="59"/>
  <c r="Q221" i="59" s="1"/>
  <c r="R221" i="59"/>
  <c r="P213" i="59"/>
  <c r="R213" i="59"/>
  <c r="U213" i="59"/>
  <c r="V213" i="59" s="1"/>
  <c r="P205" i="59"/>
  <c r="R205" i="59"/>
  <c r="P197" i="59"/>
  <c r="Q197" i="59" s="1"/>
  <c r="U197" i="59"/>
  <c r="V197" i="59" s="1"/>
  <c r="R197" i="59"/>
  <c r="P189" i="59"/>
  <c r="U189" i="59"/>
  <c r="V189" i="59" s="1"/>
  <c r="R189" i="59"/>
  <c r="P181" i="59"/>
  <c r="U181" i="59"/>
  <c r="V181" i="59" s="1"/>
  <c r="R181" i="59"/>
  <c r="P173" i="59"/>
  <c r="Q173" i="59" s="1"/>
  <c r="U173" i="59"/>
  <c r="V173" i="59" s="1"/>
  <c r="R173" i="59"/>
  <c r="P165" i="59"/>
  <c r="U165" i="59"/>
  <c r="V165" i="59" s="1"/>
  <c r="R165" i="59"/>
  <c r="P157" i="59"/>
  <c r="U157" i="59"/>
  <c r="V157" i="59" s="1"/>
  <c r="R157" i="59"/>
  <c r="P149" i="59"/>
  <c r="R149" i="59"/>
  <c r="U149" i="59"/>
  <c r="V149" i="59" s="1"/>
  <c r="P141" i="59"/>
  <c r="U141" i="59"/>
  <c r="V141" i="59" s="1"/>
  <c r="R141" i="59"/>
  <c r="P133" i="59"/>
  <c r="Q133" i="59" s="1"/>
  <c r="R133" i="59"/>
  <c r="U133" i="59"/>
  <c r="V133" i="59" s="1"/>
  <c r="P125" i="59"/>
  <c r="U125" i="59"/>
  <c r="V125" i="59" s="1"/>
  <c r="R125" i="59"/>
  <c r="P117" i="59"/>
  <c r="R117" i="59"/>
  <c r="U117" i="59"/>
  <c r="V117" i="59" s="1"/>
  <c r="P109" i="59"/>
  <c r="U109" i="59"/>
  <c r="V109" i="59" s="1"/>
  <c r="R109" i="59"/>
  <c r="P101" i="59"/>
  <c r="R101" i="59"/>
  <c r="U101" i="59"/>
  <c r="V101" i="59" s="1"/>
  <c r="P93" i="59"/>
  <c r="Q93" i="59" s="1"/>
  <c r="U93" i="59"/>
  <c r="V93" i="59" s="1"/>
  <c r="R93" i="59"/>
  <c r="P85" i="59"/>
  <c r="R85" i="59"/>
  <c r="U85" i="59"/>
  <c r="V85" i="59" s="1"/>
  <c r="P77" i="59"/>
  <c r="U77" i="59"/>
  <c r="V77" i="59" s="1"/>
  <c r="R77" i="59"/>
  <c r="P69" i="59"/>
  <c r="Q69" i="59" s="1"/>
  <c r="R69" i="59"/>
  <c r="U69" i="59"/>
  <c r="V69" i="59" s="1"/>
  <c r="P61" i="59"/>
  <c r="U61" i="59"/>
  <c r="V61" i="59" s="1"/>
  <c r="R61" i="59"/>
  <c r="P53" i="59"/>
  <c r="R53" i="59"/>
  <c r="U53" i="59"/>
  <c r="V53" i="59" s="1"/>
  <c r="P45" i="59"/>
  <c r="U45" i="59"/>
  <c r="V45" i="59" s="1"/>
  <c r="R45" i="59"/>
  <c r="P37" i="59"/>
  <c r="R37" i="59"/>
  <c r="U37" i="59"/>
  <c r="V37" i="59" s="1"/>
  <c r="P29" i="59"/>
  <c r="U29" i="59"/>
  <c r="V29" i="59" s="1"/>
  <c r="R29" i="59"/>
  <c r="P21" i="59"/>
  <c r="R21" i="59"/>
  <c r="U21" i="59"/>
  <c r="V21" i="59" s="1"/>
  <c r="P13" i="59"/>
  <c r="U13" i="59"/>
  <c r="V13" i="59" s="1"/>
  <c r="R13" i="59"/>
  <c r="U194" i="59"/>
  <c r="V194" i="59" s="1"/>
  <c r="P502" i="59"/>
  <c r="U502" i="59"/>
  <c r="V502" i="59" s="1"/>
  <c r="R502" i="59"/>
  <c r="P462" i="59"/>
  <c r="U462" i="59"/>
  <c r="V462" i="59" s="1"/>
  <c r="R462" i="59"/>
  <c r="P414" i="59"/>
  <c r="Q414" i="59" s="1"/>
  <c r="U414" i="59"/>
  <c r="V414" i="59" s="1"/>
  <c r="R414" i="59"/>
  <c r="P382" i="59"/>
  <c r="U382" i="59"/>
  <c r="V382" i="59" s="1"/>
  <c r="R382" i="59"/>
  <c r="P350" i="59"/>
  <c r="U350" i="59"/>
  <c r="V350" i="59" s="1"/>
  <c r="R350" i="59"/>
  <c r="P326" i="59"/>
  <c r="Q326" i="59" s="1"/>
  <c r="U326" i="59"/>
  <c r="V326" i="59" s="1"/>
  <c r="R326" i="59"/>
  <c r="P278" i="59"/>
  <c r="U278" i="59"/>
  <c r="V278" i="59" s="1"/>
  <c r="R278" i="59"/>
  <c r="P230" i="59"/>
  <c r="R230" i="59"/>
  <c r="U230" i="59"/>
  <c r="V230" i="59" s="1"/>
  <c r="P222" i="59"/>
  <c r="Q222" i="59" s="1"/>
  <c r="R222" i="59"/>
  <c r="U222" i="59"/>
  <c r="V222" i="59" s="1"/>
  <c r="P182" i="59"/>
  <c r="R182" i="59"/>
  <c r="U182" i="59"/>
  <c r="V182" i="59" s="1"/>
  <c r="P150" i="59"/>
  <c r="U150" i="59"/>
  <c r="V150" i="59" s="1"/>
  <c r="R150" i="59"/>
  <c r="P118" i="59"/>
  <c r="U118" i="59"/>
  <c r="V118" i="59" s="1"/>
  <c r="R118" i="59"/>
  <c r="P78" i="59"/>
  <c r="U78" i="59"/>
  <c r="V78" i="59" s="1"/>
  <c r="P54" i="59"/>
  <c r="Q54" i="59" s="1"/>
  <c r="U54" i="59"/>
  <c r="V54" i="59" s="1"/>
  <c r="R54" i="59"/>
  <c r="P30" i="59"/>
  <c r="U30" i="59"/>
  <c r="V30" i="59" s="1"/>
  <c r="R78" i="59"/>
  <c r="P452" i="59"/>
  <c r="U452" i="59"/>
  <c r="V452" i="59" s="1"/>
  <c r="P420" i="59"/>
  <c r="U420" i="59"/>
  <c r="V420" i="59" s="1"/>
  <c r="P388" i="59"/>
  <c r="Q388" i="59" s="1"/>
  <c r="U388" i="59"/>
  <c r="V388" i="59" s="1"/>
  <c r="P372" i="59"/>
  <c r="U372" i="59"/>
  <c r="V372" i="59" s="1"/>
  <c r="P340" i="59"/>
  <c r="U340" i="59"/>
  <c r="V340" i="59" s="1"/>
  <c r="P308" i="59"/>
  <c r="U308" i="59"/>
  <c r="V308" i="59" s="1"/>
  <c r="P276" i="59"/>
  <c r="Q276" i="59" s="1"/>
  <c r="U276" i="59"/>
  <c r="V276" i="59" s="1"/>
  <c r="P236" i="59"/>
  <c r="U236" i="59"/>
  <c r="V236" i="59" s="1"/>
  <c r="P220" i="59"/>
  <c r="U220" i="59"/>
  <c r="V220" i="59" s="1"/>
  <c r="P204" i="59"/>
  <c r="U204" i="59"/>
  <c r="V204" i="59" s="1"/>
  <c r="P188" i="59"/>
  <c r="Q188" i="59" s="1"/>
  <c r="U188" i="59"/>
  <c r="V188" i="59" s="1"/>
  <c r="P172" i="59"/>
  <c r="U172" i="59"/>
  <c r="V172" i="59" s="1"/>
  <c r="R172" i="59"/>
  <c r="P156" i="59"/>
  <c r="R156" i="59"/>
  <c r="U156" i="59"/>
  <c r="V156" i="59" s="1"/>
  <c r="P140" i="59"/>
  <c r="Q140" i="59" s="1"/>
  <c r="R140" i="59"/>
  <c r="U140" i="59"/>
  <c r="V140" i="59" s="1"/>
  <c r="P124" i="59"/>
  <c r="R124" i="59"/>
  <c r="U124" i="59"/>
  <c r="V124" i="59" s="1"/>
  <c r="P108" i="59"/>
  <c r="R108" i="59"/>
  <c r="U108" i="59"/>
  <c r="V108" i="59" s="1"/>
  <c r="P92" i="59"/>
  <c r="R92" i="59"/>
  <c r="U92" i="59"/>
  <c r="V92" i="59" s="1"/>
  <c r="P76" i="59"/>
  <c r="R76" i="59"/>
  <c r="U76" i="59"/>
  <c r="V76" i="59" s="1"/>
  <c r="P68" i="59"/>
  <c r="R68" i="59"/>
  <c r="P52" i="59"/>
  <c r="R52" i="59"/>
  <c r="P28" i="59"/>
  <c r="R28" i="59"/>
  <c r="U28" i="59"/>
  <c r="V28" i="59" s="1"/>
  <c r="P20" i="59"/>
  <c r="R20" i="59"/>
  <c r="R460" i="59"/>
  <c r="R396" i="59"/>
  <c r="R340" i="59"/>
  <c r="R276" i="59"/>
  <c r="U332" i="59"/>
  <c r="V332" i="59" s="1"/>
  <c r="U460" i="59"/>
  <c r="V460" i="59" s="1"/>
  <c r="P507" i="59"/>
  <c r="U507" i="59"/>
  <c r="V507" i="59" s="1"/>
  <c r="P499" i="59"/>
  <c r="Q499" i="59" s="1"/>
  <c r="U499" i="59"/>
  <c r="V499" i="59" s="1"/>
  <c r="P491" i="59"/>
  <c r="U491" i="59"/>
  <c r="V491" i="59" s="1"/>
  <c r="P483" i="59"/>
  <c r="U483" i="59"/>
  <c r="V483" i="59" s="1"/>
  <c r="P475" i="59"/>
  <c r="U475" i="59"/>
  <c r="V475" i="59" s="1"/>
  <c r="P467" i="59"/>
  <c r="Q467" i="59" s="1"/>
  <c r="U467" i="59"/>
  <c r="V467" i="59" s="1"/>
  <c r="P459" i="59"/>
  <c r="U459" i="59"/>
  <c r="V459" i="59" s="1"/>
  <c r="P451" i="59"/>
  <c r="U451" i="59"/>
  <c r="V451" i="59" s="1"/>
  <c r="P443" i="59"/>
  <c r="U443" i="59"/>
  <c r="V443" i="59" s="1"/>
  <c r="P435" i="59"/>
  <c r="Q435" i="59" s="1"/>
  <c r="U435" i="59"/>
  <c r="V435" i="59" s="1"/>
  <c r="P427" i="59"/>
  <c r="U427" i="59"/>
  <c r="V427" i="59" s="1"/>
  <c r="P419" i="59"/>
  <c r="U419" i="59"/>
  <c r="V419" i="59" s="1"/>
  <c r="P411" i="59"/>
  <c r="U411" i="59"/>
  <c r="V411" i="59" s="1"/>
  <c r="P403" i="59"/>
  <c r="Q403" i="59" s="1"/>
  <c r="U403" i="59"/>
  <c r="V403" i="59" s="1"/>
  <c r="P395" i="59"/>
  <c r="U395" i="59"/>
  <c r="V395" i="59" s="1"/>
  <c r="P387" i="59"/>
  <c r="U387" i="59"/>
  <c r="V387" i="59" s="1"/>
  <c r="P379" i="59"/>
  <c r="U379" i="59"/>
  <c r="V379" i="59" s="1"/>
  <c r="R379" i="59"/>
  <c r="P371" i="59"/>
  <c r="U371" i="59"/>
  <c r="V371" i="59" s="1"/>
  <c r="R371" i="59"/>
  <c r="P363" i="59"/>
  <c r="U363" i="59"/>
  <c r="V363" i="59" s="1"/>
  <c r="R363" i="59"/>
  <c r="P355" i="59"/>
  <c r="Q355" i="59" s="1"/>
  <c r="U355" i="59"/>
  <c r="V355" i="59" s="1"/>
  <c r="R355" i="59"/>
  <c r="P347" i="59"/>
  <c r="U347" i="59"/>
  <c r="V347" i="59" s="1"/>
  <c r="R347" i="59"/>
  <c r="P339" i="59"/>
  <c r="U339" i="59"/>
  <c r="V339" i="59" s="1"/>
  <c r="R339" i="59"/>
  <c r="P331" i="59"/>
  <c r="Q331" i="59" s="1"/>
  <c r="U331" i="59"/>
  <c r="V331" i="59" s="1"/>
  <c r="R331" i="59"/>
  <c r="P323" i="59"/>
  <c r="U323" i="59"/>
  <c r="V323" i="59" s="1"/>
  <c r="R323" i="59"/>
  <c r="P315" i="59"/>
  <c r="U315" i="59"/>
  <c r="V315" i="59" s="1"/>
  <c r="R315" i="59"/>
  <c r="P307" i="59"/>
  <c r="U307" i="59"/>
  <c r="V307" i="59" s="1"/>
  <c r="R307" i="59"/>
  <c r="P299" i="59"/>
  <c r="U299" i="59"/>
  <c r="V299" i="59" s="1"/>
  <c r="R299" i="59"/>
  <c r="P291" i="59"/>
  <c r="U291" i="59"/>
  <c r="V291" i="59" s="1"/>
  <c r="R291" i="59"/>
  <c r="P283" i="59"/>
  <c r="U283" i="59"/>
  <c r="V283" i="59" s="1"/>
  <c r="R283" i="59"/>
  <c r="P275" i="59"/>
  <c r="U275" i="59"/>
  <c r="V275" i="59" s="1"/>
  <c r="R275" i="59"/>
  <c r="P267" i="59"/>
  <c r="Q267" i="59" s="1"/>
  <c r="U267" i="59"/>
  <c r="V267" i="59" s="1"/>
  <c r="R267" i="59"/>
  <c r="P259" i="59"/>
  <c r="U259" i="59"/>
  <c r="V259" i="59" s="1"/>
  <c r="R259" i="59"/>
  <c r="P251" i="59"/>
  <c r="U251" i="59"/>
  <c r="V251" i="59" s="1"/>
  <c r="R251" i="59"/>
  <c r="P243" i="59"/>
  <c r="U243" i="59"/>
  <c r="V243" i="59" s="1"/>
  <c r="R243" i="59"/>
  <c r="P235" i="59"/>
  <c r="U235" i="59"/>
  <c r="V235" i="59" s="1"/>
  <c r="R235" i="59"/>
  <c r="P227" i="59"/>
  <c r="Q227" i="59" s="1"/>
  <c r="U227" i="59"/>
  <c r="V227" i="59" s="1"/>
  <c r="R227" i="59"/>
  <c r="P219" i="59"/>
  <c r="U219" i="59"/>
  <c r="V219" i="59" s="1"/>
  <c r="R219" i="59"/>
  <c r="P211" i="59"/>
  <c r="U211" i="59"/>
  <c r="V211" i="59" s="1"/>
  <c r="R211" i="59"/>
  <c r="P203" i="59"/>
  <c r="Q203" i="59" s="1"/>
  <c r="U203" i="59"/>
  <c r="V203" i="59" s="1"/>
  <c r="R203" i="59"/>
  <c r="P195" i="59"/>
  <c r="U195" i="59"/>
  <c r="V195" i="59" s="1"/>
  <c r="R195" i="59"/>
  <c r="P187" i="59"/>
  <c r="U187" i="59"/>
  <c r="V187" i="59" s="1"/>
  <c r="R187" i="59"/>
  <c r="P179" i="59"/>
  <c r="R179" i="59"/>
  <c r="U179" i="59"/>
  <c r="V179" i="59" s="1"/>
  <c r="P171" i="59"/>
  <c r="R171" i="59"/>
  <c r="U171" i="59"/>
  <c r="V171" i="59" s="1"/>
  <c r="P163" i="59"/>
  <c r="R163" i="59"/>
  <c r="P155" i="59"/>
  <c r="U155" i="59"/>
  <c r="V155" i="59" s="1"/>
  <c r="R155" i="59"/>
  <c r="P147" i="59"/>
  <c r="U147" i="59"/>
  <c r="V147" i="59" s="1"/>
  <c r="R147" i="59"/>
  <c r="P139" i="59"/>
  <c r="Q139" i="59" s="1"/>
  <c r="U139" i="59"/>
  <c r="V139" i="59" s="1"/>
  <c r="R139" i="59"/>
  <c r="P131" i="59"/>
  <c r="U131" i="59"/>
  <c r="V131" i="59" s="1"/>
  <c r="R131" i="59"/>
  <c r="P123" i="59"/>
  <c r="U123" i="59"/>
  <c r="V123" i="59" s="1"/>
  <c r="R123" i="59"/>
  <c r="P115" i="59"/>
  <c r="Q115" i="59" s="1"/>
  <c r="U115" i="59"/>
  <c r="V115" i="59" s="1"/>
  <c r="R115" i="59"/>
  <c r="P107" i="59"/>
  <c r="U107" i="59"/>
  <c r="V107" i="59" s="1"/>
  <c r="R107" i="59"/>
  <c r="P99" i="59"/>
  <c r="U99" i="59"/>
  <c r="V99" i="59" s="1"/>
  <c r="R99" i="59"/>
  <c r="P91" i="59"/>
  <c r="U91" i="59"/>
  <c r="V91" i="59" s="1"/>
  <c r="R91" i="59"/>
  <c r="P83" i="59"/>
  <c r="U83" i="59"/>
  <c r="V83" i="59" s="1"/>
  <c r="R83" i="59"/>
  <c r="P75" i="59"/>
  <c r="U75" i="59"/>
  <c r="V75" i="59" s="1"/>
  <c r="R75" i="59"/>
  <c r="P67" i="59"/>
  <c r="U67" i="59"/>
  <c r="V67" i="59" s="1"/>
  <c r="R67" i="59"/>
  <c r="P59" i="59"/>
  <c r="U59" i="59"/>
  <c r="V59" i="59" s="1"/>
  <c r="R59" i="59"/>
  <c r="P51" i="59"/>
  <c r="Q51" i="59" s="1"/>
  <c r="U51" i="59"/>
  <c r="V51" i="59" s="1"/>
  <c r="R51" i="59"/>
  <c r="P43" i="59"/>
  <c r="U43" i="59"/>
  <c r="V43" i="59" s="1"/>
  <c r="R43" i="59"/>
  <c r="P35" i="59"/>
  <c r="U35" i="59"/>
  <c r="V35" i="59" s="1"/>
  <c r="R35" i="59"/>
  <c r="P27" i="59"/>
  <c r="U27" i="59"/>
  <c r="V27" i="59" s="1"/>
  <c r="R27" i="59"/>
  <c r="R459" i="59"/>
  <c r="R395" i="59"/>
  <c r="U20" i="59"/>
  <c r="V20" i="59" s="1"/>
  <c r="P494" i="59"/>
  <c r="U494" i="59"/>
  <c r="V494" i="59" s="1"/>
  <c r="R494" i="59"/>
  <c r="P446" i="59"/>
  <c r="U446" i="59"/>
  <c r="V446" i="59" s="1"/>
  <c r="R446" i="59"/>
  <c r="P406" i="59"/>
  <c r="U406" i="59"/>
  <c r="V406" i="59" s="1"/>
  <c r="R406" i="59"/>
  <c r="P374" i="59"/>
  <c r="Q374" i="59" s="1"/>
  <c r="U374" i="59"/>
  <c r="V374" i="59" s="1"/>
  <c r="R374" i="59"/>
  <c r="P342" i="59"/>
  <c r="U342" i="59"/>
  <c r="V342" i="59" s="1"/>
  <c r="R342" i="59"/>
  <c r="P318" i="59"/>
  <c r="U318" i="59"/>
  <c r="V318" i="59" s="1"/>
  <c r="R318" i="59"/>
  <c r="P286" i="59"/>
  <c r="U286" i="59"/>
  <c r="V286" i="59" s="1"/>
  <c r="R286" i="59"/>
  <c r="P270" i="59"/>
  <c r="U270" i="59"/>
  <c r="V270" i="59" s="1"/>
  <c r="R270" i="59"/>
  <c r="P238" i="59"/>
  <c r="Q238" i="59" s="1"/>
  <c r="U238" i="59"/>
  <c r="V238" i="59" s="1"/>
  <c r="R238" i="59"/>
  <c r="P214" i="59"/>
  <c r="R214" i="59"/>
  <c r="U214" i="59"/>
  <c r="V214" i="59" s="1"/>
  <c r="P174" i="59"/>
  <c r="R174" i="59"/>
  <c r="P142" i="59"/>
  <c r="Q142" i="59" s="1"/>
  <c r="U142" i="59"/>
  <c r="V142" i="59" s="1"/>
  <c r="P102" i="59"/>
  <c r="U102" i="59"/>
  <c r="V102" i="59" s="1"/>
  <c r="R102" i="59"/>
  <c r="P70" i="59"/>
  <c r="U70" i="59"/>
  <c r="V70" i="59" s="1"/>
  <c r="R70" i="59"/>
  <c r="P46" i="59"/>
  <c r="U46" i="59"/>
  <c r="V46" i="59" s="1"/>
  <c r="P22" i="59"/>
  <c r="U22" i="59"/>
  <c r="V22" i="59" s="1"/>
  <c r="R22" i="59"/>
  <c r="R142" i="59"/>
  <c r="P468" i="59"/>
  <c r="U468" i="59"/>
  <c r="V468" i="59" s="1"/>
  <c r="P436" i="59"/>
  <c r="Q436" i="59" s="1"/>
  <c r="U436" i="59"/>
  <c r="V436" i="59" s="1"/>
  <c r="P404" i="59"/>
  <c r="U404" i="59"/>
  <c r="V404" i="59" s="1"/>
  <c r="P356" i="59"/>
  <c r="U356" i="59"/>
  <c r="V356" i="59" s="1"/>
  <c r="P324" i="59"/>
  <c r="U324" i="59"/>
  <c r="V324" i="59" s="1"/>
  <c r="P292" i="59"/>
  <c r="Q292" i="59" s="1"/>
  <c r="U292" i="59"/>
  <c r="V292" i="59" s="1"/>
  <c r="P260" i="59"/>
  <c r="U260" i="59"/>
  <c r="V260" i="59" s="1"/>
  <c r="P244" i="59"/>
  <c r="U244" i="59"/>
  <c r="V244" i="59" s="1"/>
  <c r="P228" i="59"/>
  <c r="U228" i="59"/>
  <c r="V228" i="59" s="1"/>
  <c r="P212" i="59"/>
  <c r="Q212" i="59" s="1"/>
  <c r="U212" i="59"/>
  <c r="V212" i="59" s="1"/>
  <c r="P196" i="59"/>
  <c r="U196" i="59"/>
  <c r="V196" i="59" s="1"/>
  <c r="P180" i="59"/>
  <c r="U180" i="59"/>
  <c r="V180" i="59" s="1"/>
  <c r="P164" i="59"/>
  <c r="R164" i="59"/>
  <c r="U164" i="59"/>
  <c r="V164" i="59" s="1"/>
  <c r="P148" i="59"/>
  <c r="Q148" i="59" s="1"/>
  <c r="R148" i="59"/>
  <c r="P132" i="59"/>
  <c r="R132" i="59"/>
  <c r="P116" i="59"/>
  <c r="R116" i="59"/>
  <c r="P100" i="59"/>
  <c r="Q100" i="59" s="1"/>
  <c r="R100" i="59"/>
  <c r="P84" i="59"/>
  <c r="Q84" i="59" s="1"/>
  <c r="R84" i="59"/>
  <c r="P60" i="59"/>
  <c r="R60" i="59"/>
  <c r="U60" i="59"/>
  <c r="V60" i="59" s="1"/>
  <c r="P44" i="59"/>
  <c r="R44" i="59"/>
  <c r="U44" i="59"/>
  <c r="V44" i="59" s="1"/>
  <c r="P36" i="59"/>
  <c r="Q36" i="59" s="1"/>
  <c r="R36" i="59"/>
  <c r="P12" i="59"/>
  <c r="R12" i="59"/>
  <c r="U12" i="59"/>
  <c r="V12" i="59" s="1"/>
  <c r="R372" i="59"/>
  <c r="R308" i="59"/>
  <c r="R244" i="59"/>
  <c r="R180" i="59"/>
  <c r="U268" i="59"/>
  <c r="V268" i="59" s="1"/>
  <c r="U396" i="59"/>
  <c r="V396" i="59" s="1"/>
  <c r="P506" i="59"/>
  <c r="U506" i="59"/>
  <c r="V506" i="59" s="1"/>
  <c r="P498" i="59"/>
  <c r="U498" i="59"/>
  <c r="V498" i="59" s="1"/>
  <c r="P490" i="59"/>
  <c r="Q490" i="59" s="1"/>
  <c r="U490" i="59"/>
  <c r="V490" i="59" s="1"/>
  <c r="P482" i="59"/>
  <c r="U482" i="59"/>
  <c r="V482" i="59" s="1"/>
  <c r="P474" i="59"/>
  <c r="U474" i="59"/>
  <c r="V474" i="59" s="1"/>
  <c r="P466" i="59"/>
  <c r="Q466" i="59" s="1"/>
  <c r="U466" i="59"/>
  <c r="V466" i="59" s="1"/>
  <c r="P458" i="59"/>
  <c r="Q458" i="59" s="1"/>
  <c r="U458" i="59"/>
  <c r="V458" i="59" s="1"/>
  <c r="P450" i="59"/>
  <c r="U450" i="59"/>
  <c r="V450" i="59" s="1"/>
  <c r="P442" i="59"/>
  <c r="U442" i="59"/>
  <c r="V442" i="59" s="1"/>
  <c r="P434" i="59"/>
  <c r="U434" i="59"/>
  <c r="V434" i="59" s="1"/>
  <c r="P426" i="59"/>
  <c r="Q426" i="59" s="1"/>
  <c r="U426" i="59"/>
  <c r="V426" i="59" s="1"/>
  <c r="P418" i="59"/>
  <c r="U418" i="59"/>
  <c r="V418" i="59" s="1"/>
  <c r="P410" i="59"/>
  <c r="U410" i="59"/>
  <c r="V410" i="59" s="1"/>
  <c r="P402" i="59"/>
  <c r="U402" i="59"/>
  <c r="V402" i="59" s="1"/>
  <c r="P394" i="59"/>
  <c r="Q394" i="59" s="1"/>
  <c r="U394" i="59"/>
  <c r="V394" i="59" s="1"/>
  <c r="P386" i="59"/>
  <c r="U386" i="59"/>
  <c r="V386" i="59" s="1"/>
  <c r="P378" i="59"/>
  <c r="U378" i="59"/>
  <c r="V378" i="59" s="1"/>
  <c r="P370" i="59"/>
  <c r="Q370" i="59" s="1"/>
  <c r="U370" i="59"/>
  <c r="V370" i="59" s="1"/>
  <c r="P362" i="59"/>
  <c r="Q362" i="59" s="1"/>
  <c r="U362" i="59"/>
  <c r="V362" i="59" s="1"/>
  <c r="P354" i="59"/>
  <c r="U354" i="59"/>
  <c r="V354" i="59" s="1"/>
  <c r="P346" i="59"/>
  <c r="U346" i="59"/>
  <c r="V346" i="59" s="1"/>
  <c r="P338" i="59"/>
  <c r="U338" i="59"/>
  <c r="V338" i="59" s="1"/>
  <c r="P330" i="59"/>
  <c r="Q330" i="59" s="1"/>
  <c r="U330" i="59"/>
  <c r="V330" i="59" s="1"/>
  <c r="P322" i="59"/>
  <c r="U322" i="59"/>
  <c r="V322" i="59" s="1"/>
  <c r="P314" i="59"/>
  <c r="U314" i="59"/>
  <c r="V314" i="59" s="1"/>
  <c r="P306" i="59"/>
  <c r="U306" i="59"/>
  <c r="V306" i="59" s="1"/>
  <c r="P298" i="59"/>
  <c r="Q298" i="59" s="1"/>
  <c r="U298" i="59"/>
  <c r="V298" i="59" s="1"/>
  <c r="P290" i="59"/>
  <c r="U290" i="59"/>
  <c r="V290" i="59" s="1"/>
  <c r="P282" i="59"/>
  <c r="U282" i="59"/>
  <c r="V282" i="59" s="1"/>
  <c r="P274" i="59"/>
  <c r="U274" i="59"/>
  <c r="V274" i="59" s="1"/>
  <c r="P266" i="59"/>
  <c r="Q266" i="59" s="1"/>
  <c r="U266" i="59"/>
  <c r="V266" i="59" s="1"/>
  <c r="P258" i="59"/>
  <c r="U258" i="59"/>
  <c r="V258" i="59" s="1"/>
  <c r="P250" i="59"/>
  <c r="U250" i="59"/>
  <c r="V250" i="59" s="1"/>
  <c r="P242" i="59"/>
  <c r="U242" i="59"/>
  <c r="V242" i="59" s="1"/>
  <c r="P234" i="59"/>
  <c r="Q234" i="59" s="1"/>
  <c r="U234" i="59"/>
  <c r="V234" i="59" s="1"/>
  <c r="P226" i="59"/>
  <c r="U226" i="59"/>
  <c r="V226" i="59" s="1"/>
  <c r="P218" i="59"/>
  <c r="U218" i="59"/>
  <c r="V218" i="59" s="1"/>
  <c r="P210" i="59"/>
  <c r="U210" i="59"/>
  <c r="V210" i="59" s="1"/>
  <c r="P202" i="59"/>
  <c r="Q202" i="59" s="1"/>
  <c r="U202" i="59"/>
  <c r="V202" i="59" s="1"/>
  <c r="P186" i="59"/>
  <c r="U186" i="59"/>
  <c r="V186" i="59" s="1"/>
  <c r="P178" i="59"/>
  <c r="R178" i="59"/>
  <c r="P170" i="59"/>
  <c r="U170" i="59"/>
  <c r="V170" i="59" s="1"/>
  <c r="R170" i="59"/>
  <c r="P162" i="59"/>
  <c r="Q162" i="59" s="1"/>
  <c r="U162" i="59"/>
  <c r="V162" i="59" s="1"/>
  <c r="R162" i="59"/>
  <c r="P154" i="59"/>
  <c r="U154" i="59"/>
  <c r="V154" i="59" s="1"/>
  <c r="P146" i="59"/>
  <c r="U146" i="59"/>
  <c r="V146" i="59" s="1"/>
  <c r="R146" i="59"/>
  <c r="P138" i="59"/>
  <c r="Q138" i="59" s="1"/>
  <c r="U138" i="59"/>
  <c r="V138" i="59" s="1"/>
  <c r="P130" i="59"/>
  <c r="U130" i="59"/>
  <c r="V130" i="59" s="1"/>
  <c r="R130" i="59"/>
  <c r="P122" i="59"/>
  <c r="U122" i="59"/>
  <c r="V122" i="59" s="1"/>
  <c r="P114" i="59"/>
  <c r="Q114" i="59" s="1"/>
  <c r="U114" i="59"/>
  <c r="V114" i="59" s="1"/>
  <c r="R114" i="59"/>
  <c r="P106" i="59"/>
  <c r="U106" i="59"/>
  <c r="V106" i="59" s="1"/>
  <c r="P98" i="59"/>
  <c r="U98" i="59"/>
  <c r="V98" i="59" s="1"/>
  <c r="R98" i="59"/>
  <c r="P90" i="59"/>
  <c r="Q90" i="59" s="1"/>
  <c r="U90" i="59"/>
  <c r="V90" i="59" s="1"/>
  <c r="P82" i="59"/>
  <c r="U82" i="59"/>
  <c r="V82" i="59" s="1"/>
  <c r="R82" i="59"/>
  <c r="P74" i="59"/>
  <c r="U74" i="59"/>
  <c r="V74" i="59" s="1"/>
  <c r="P66" i="59"/>
  <c r="U66" i="59"/>
  <c r="V66" i="59" s="1"/>
  <c r="R66" i="59"/>
  <c r="P58" i="59"/>
  <c r="U58" i="59"/>
  <c r="V58" i="59" s="1"/>
  <c r="P50" i="59"/>
  <c r="U50" i="59"/>
  <c r="V50" i="59" s="1"/>
  <c r="R50" i="59"/>
  <c r="P42" i="59"/>
  <c r="U42" i="59"/>
  <c r="V42" i="59" s="1"/>
  <c r="P34" i="59"/>
  <c r="Q34" i="59" s="1"/>
  <c r="U34" i="59"/>
  <c r="V34" i="59" s="1"/>
  <c r="R34" i="59"/>
  <c r="P26" i="59"/>
  <c r="Q26" i="59" s="1"/>
  <c r="U26" i="59"/>
  <c r="V26" i="59" s="1"/>
  <c r="R499" i="59"/>
  <c r="R476" i="59"/>
  <c r="R458" i="59"/>
  <c r="R435" i="59"/>
  <c r="R412" i="59"/>
  <c r="R394" i="59"/>
  <c r="R364" i="59"/>
  <c r="R332" i="59"/>
  <c r="R300" i="59"/>
  <c r="R268" i="59"/>
  <c r="R236" i="59"/>
  <c r="R204" i="59"/>
  <c r="R46" i="59"/>
  <c r="U221" i="59"/>
  <c r="V221" i="59" s="1"/>
  <c r="U284" i="59"/>
  <c r="V284" i="59" s="1"/>
  <c r="U348" i="59"/>
  <c r="V348" i="59" s="1"/>
  <c r="U412" i="59"/>
  <c r="V412" i="59" s="1"/>
  <c r="U476" i="59"/>
  <c r="V476" i="59" s="1"/>
  <c r="P486" i="59"/>
  <c r="U486" i="59"/>
  <c r="V486" i="59" s="1"/>
  <c r="R486" i="59"/>
  <c r="P430" i="59"/>
  <c r="U430" i="59"/>
  <c r="V430" i="59" s="1"/>
  <c r="R430" i="59"/>
  <c r="P390" i="59"/>
  <c r="U390" i="59"/>
  <c r="V390" i="59" s="1"/>
  <c r="R390" i="59"/>
  <c r="P334" i="59"/>
  <c r="Q334" i="59" s="1"/>
  <c r="U334" i="59"/>
  <c r="V334" i="59" s="1"/>
  <c r="R334" i="59"/>
  <c r="P302" i="59"/>
  <c r="U302" i="59"/>
  <c r="V302" i="59" s="1"/>
  <c r="R302" i="59"/>
  <c r="P262" i="59"/>
  <c r="U262" i="59"/>
  <c r="V262" i="59" s="1"/>
  <c r="R262" i="59"/>
  <c r="P206" i="59"/>
  <c r="R206" i="59"/>
  <c r="U206" i="59"/>
  <c r="V206" i="59" s="1"/>
  <c r="P158" i="59"/>
  <c r="U158" i="59"/>
  <c r="V158" i="59" s="1"/>
  <c r="P126" i="59"/>
  <c r="Q126" i="59" s="1"/>
  <c r="U126" i="59"/>
  <c r="V126" i="59" s="1"/>
  <c r="P94" i="59"/>
  <c r="Q94" i="59" s="1"/>
  <c r="U94" i="59"/>
  <c r="V94" i="59" s="1"/>
  <c r="P62" i="59"/>
  <c r="U62" i="59"/>
  <c r="V62" i="59" s="1"/>
  <c r="P14" i="59"/>
  <c r="U14" i="59"/>
  <c r="V14" i="59" s="1"/>
  <c r="P500" i="59"/>
  <c r="U500" i="59"/>
  <c r="V500" i="59" s="1"/>
  <c r="P484" i="59"/>
  <c r="Q484" i="59" s="1"/>
  <c r="U484" i="59"/>
  <c r="V484" i="59" s="1"/>
  <c r="P505" i="59"/>
  <c r="U505" i="59"/>
  <c r="V505" i="59" s="1"/>
  <c r="R505" i="59"/>
  <c r="P497" i="59"/>
  <c r="U497" i="59"/>
  <c r="V497" i="59" s="1"/>
  <c r="R497" i="59"/>
  <c r="P489" i="59"/>
  <c r="Q489" i="59" s="1"/>
  <c r="U489" i="59"/>
  <c r="V489" i="59" s="1"/>
  <c r="R489" i="59"/>
  <c r="P481" i="59"/>
  <c r="U481" i="59"/>
  <c r="V481" i="59" s="1"/>
  <c r="R481" i="59"/>
  <c r="P473" i="59"/>
  <c r="U473" i="59"/>
  <c r="V473" i="59" s="1"/>
  <c r="R473" i="59"/>
  <c r="P465" i="59"/>
  <c r="U465" i="59"/>
  <c r="V465" i="59" s="1"/>
  <c r="R465" i="59"/>
  <c r="P457" i="59"/>
  <c r="U457" i="59"/>
  <c r="V457" i="59" s="1"/>
  <c r="R457" i="59"/>
  <c r="P449" i="59"/>
  <c r="Q449" i="59" s="1"/>
  <c r="U449" i="59"/>
  <c r="V449" i="59" s="1"/>
  <c r="R449" i="59"/>
  <c r="P441" i="59"/>
  <c r="U441" i="59"/>
  <c r="V441" i="59" s="1"/>
  <c r="R441" i="59"/>
  <c r="P433" i="59"/>
  <c r="U433" i="59"/>
  <c r="V433" i="59" s="1"/>
  <c r="R433" i="59"/>
  <c r="P425" i="59"/>
  <c r="Q425" i="59" s="1"/>
  <c r="U425" i="59"/>
  <c r="V425" i="59" s="1"/>
  <c r="R425" i="59"/>
  <c r="P417" i="59"/>
  <c r="Q417" i="59" s="1"/>
  <c r="U417" i="59"/>
  <c r="V417" i="59" s="1"/>
  <c r="R417" i="59"/>
  <c r="P409" i="59"/>
  <c r="U409" i="59"/>
  <c r="V409" i="59" s="1"/>
  <c r="R409" i="59"/>
  <c r="P401" i="59"/>
  <c r="U401" i="59"/>
  <c r="V401" i="59" s="1"/>
  <c r="R401" i="59"/>
  <c r="P393" i="59"/>
  <c r="U393" i="59"/>
  <c r="V393" i="59" s="1"/>
  <c r="R393" i="59"/>
  <c r="P385" i="59"/>
  <c r="Q385" i="59" s="1"/>
  <c r="U385" i="59"/>
  <c r="V385" i="59" s="1"/>
  <c r="R385" i="59"/>
  <c r="P377" i="59"/>
  <c r="U377" i="59"/>
  <c r="V377" i="59" s="1"/>
  <c r="R377" i="59"/>
  <c r="P369" i="59"/>
  <c r="Q369" i="59" s="1"/>
  <c r="U369" i="59"/>
  <c r="V369" i="59" s="1"/>
  <c r="R369" i="59"/>
  <c r="P361" i="59"/>
  <c r="Q361" i="59" s="1"/>
  <c r="U361" i="59"/>
  <c r="V361" i="59" s="1"/>
  <c r="R361" i="59"/>
  <c r="P353" i="59"/>
  <c r="U353" i="59"/>
  <c r="V353" i="59" s="1"/>
  <c r="R353" i="59"/>
  <c r="P345" i="59"/>
  <c r="U345" i="59"/>
  <c r="V345" i="59" s="1"/>
  <c r="R345" i="59"/>
  <c r="P337" i="59"/>
  <c r="U337" i="59"/>
  <c r="V337" i="59" s="1"/>
  <c r="R337" i="59"/>
  <c r="P329" i="59"/>
  <c r="U329" i="59"/>
  <c r="V329" i="59" s="1"/>
  <c r="R329" i="59"/>
  <c r="P321" i="59"/>
  <c r="Q321" i="59" s="1"/>
  <c r="U321" i="59"/>
  <c r="V321" i="59" s="1"/>
  <c r="R321" i="59"/>
  <c r="P313" i="59"/>
  <c r="U313" i="59"/>
  <c r="V313" i="59" s="1"/>
  <c r="R313" i="59"/>
  <c r="P305" i="59"/>
  <c r="Q305" i="59" s="1"/>
  <c r="U305" i="59"/>
  <c r="V305" i="59" s="1"/>
  <c r="R305" i="59"/>
  <c r="P297" i="59"/>
  <c r="Q297" i="59" s="1"/>
  <c r="U297" i="59"/>
  <c r="V297" i="59" s="1"/>
  <c r="R297" i="59"/>
  <c r="P289" i="59"/>
  <c r="U289" i="59"/>
  <c r="V289" i="59" s="1"/>
  <c r="R289" i="59"/>
  <c r="P281" i="59"/>
  <c r="U281" i="59"/>
  <c r="V281" i="59" s="1"/>
  <c r="R281" i="59"/>
  <c r="P273" i="59"/>
  <c r="U273" i="59"/>
  <c r="V273" i="59" s="1"/>
  <c r="R273" i="59"/>
  <c r="P265" i="59"/>
  <c r="U265" i="59"/>
  <c r="V265" i="59" s="1"/>
  <c r="R265" i="59"/>
  <c r="P257" i="59"/>
  <c r="Q257" i="59" s="1"/>
  <c r="U257" i="59"/>
  <c r="V257" i="59" s="1"/>
  <c r="R257" i="59"/>
  <c r="P249" i="59"/>
  <c r="U249" i="59"/>
  <c r="V249" i="59" s="1"/>
  <c r="R249" i="59"/>
  <c r="P241" i="59"/>
  <c r="U241" i="59"/>
  <c r="V241" i="59" s="1"/>
  <c r="R241" i="59"/>
  <c r="P233" i="59"/>
  <c r="Q233" i="59" s="1"/>
  <c r="U233" i="59"/>
  <c r="V233" i="59" s="1"/>
  <c r="R233" i="59"/>
  <c r="P225" i="59"/>
  <c r="Q225" i="59" s="1"/>
  <c r="R225" i="59"/>
  <c r="P217" i="59"/>
  <c r="U217" i="59"/>
  <c r="V217" i="59" s="1"/>
  <c r="R217" i="59"/>
  <c r="P209" i="59"/>
  <c r="Q209" i="59" s="1"/>
  <c r="R209" i="59"/>
  <c r="P201" i="59"/>
  <c r="U201" i="59"/>
  <c r="V201" i="59" s="1"/>
  <c r="R201" i="59"/>
  <c r="P193" i="59"/>
  <c r="U193" i="59"/>
  <c r="V193" i="59" s="1"/>
  <c r="R193" i="59"/>
  <c r="P185" i="59"/>
  <c r="Q185" i="59" s="1"/>
  <c r="U185" i="59"/>
  <c r="V185" i="59" s="1"/>
  <c r="R185" i="59"/>
  <c r="P177" i="59"/>
  <c r="U177" i="59"/>
  <c r="V177" i="59" s="1"/>
  <c r="P169" i="59"/>
  <c r="Q169" i="59" s="1"/>
  <c r="U169" i="59"/>
  <c r="V169" i="59" s="1"/>
  <c r="P161" i="59"/>
  <c r="Q161" i="59" s="1"/>
  <c r="R161" i="59"/>
  <c r="U161" i="59"/>
  <c r="V161" i="59" s="1"/>
  <c r="P153" i="59"/>
  <c r="U153" i="59"/>
  <c r="V153" i="59" s="1"/>
  <c r="R153" i="59"/>
  <c r="P145" i="59"/>
  <c r="R145" i="59"/>
  <c r="U145" i="59"/>
  <c r="V145" i="59" s="1"/>
  <c r="P137" i="59"/>
  <c r="Q137" i="59" s="1"/>
  <c r="U137" i="59"/>
  <c r="V137" i="59" s="1"/>
  <c r="R137" i="59"/>
  <c r="P129" i="59"/>
  <c r="R129" i="59"/>
  <c r="U129" i="59"/>
  <c r="V129" i="59" s="1"/>
  <c r="P121" i="59"/>
  <c r="Q121" i="59" s="1"/>
  <c r="U121" i="59"/>
  <c r="V121" i="59" s="1"/>
  <c r="R121" i="59"/>
  <c r="P113" i="59"/>
  <c r="R113" i="59"/>
  <c r="U113" i="59"/>
  <c r="V113" i="59" s="1"/>
  <c r="P105" i="59"/>
  <c r="U105" i="59"/>
  <c r="V105" i="59" s="1"/>
  <c r="R105" i="59"/>
  <c r="P97" i="59"/>
  <c r="Q97" i="59" s="1"/>
  <c r="R97" i="59"/>
  <c r="U97" i="59"/>
  <c r="V97" i="59" s="1"/>
  <c r="P89" i="59"/>
  <c r="U89" i="59"/>
  <c r="V89" i="59" s="1"/>
  <c r="R89" i="59"/>
  <c r="P81" i="59"/>
  <c r="R81" i="59"/>
  <c r="U81" i="59"/>
  <c r="V81" i="59" s="1"/>
  <c r="P73" i="59"/>
  <c r="Q73" i="59" s="1"/>
  <c r="U73" i="59"/>
  <c r="V73" i="59" s="1"/>
  <c r="R73" i="59"/>
  <c r="P65" i="59"/>
  <c r="R65" i="59"/>
  <c r="U65" i="59"/>
  <c r="V65" i="59" s="1"/>
  <c r="P57" i="59"/>
  <c r="U57" i="59"/>
  <c r="V57" i="59" s="1"/>
  <c r="R57" i="59"/>
  <c r="P49" i="59"/>
  <c r="R49" i="59"/>
  <c r="U49" i="59"/>
  <c r="V49" i="59" s="1"/>
  <c r="P41" i="59"/>
  <c r="U41" i="59"/>
  <c r="V41" i="59" s="1"/>
  <c r="R41" i="59"/>
  <c r="P33" i="59"/>
  <c r="Q33" i="59" s="1"/>
  <c r="R33" i="59"/>
  <c r="U33" i="59"/>
  <c r="V33" i="59" s="1"/>
  <c r="P25" i="59"/>
  <c r="U25" i="59"/>
  <c r="V25" i="59" s="1"/>
  <c r="R25" i="59"/>
  <c r="P17" i="59"/>
  <c r="R17" i="59"/>
  <c r="U17" i="59"/>
  <c r="V17" i="59" s="1"/>
  <c r="P9" i="59"/>
  <c r="Q9" i="59" s="1"/>
  <c r="U9" i="59"/>
  <c r="V9" i="59" s="1"/>
  <c r="R9" i="59"/>
  <c r="R498" i="59"/>
  <c r="R475" i="59"/>
  <c r="R452" i="59"/>
  <c r="R434" i="59"/>
  <c r="R411" i="59"/>
  <c r="R388" i="59"/>
  <c r="R362" i="59"/>
  <c r="R330" i="59"/>
  <c r="R298" i="59"/>
  <c r="R266" i="59"/>
  <c r="R234" i="59"/>
  <c r="R202" i="59"/>
  <c r="R166" i="59"/>
  <c r="R106" i="59"/>
  <c r="R42" i="59"/>
  <c r="U36" i="59"/>
  <c r="V36" i="59" s="1"/>
  <c r="U100" i="59"/>
  <c r="V100" i="59" s="1"/>
  <c r="U163" i="59"/>
  <c r="V163" i="59" s="1"/>
  <c r="U225" i="59"/>
  <c r="V225" i="59" s="1"/>
  <c r="P470" i="59"/>
  <c r="U470" i="59"/>
  <c r="V470" i="59" s="1"/>
  <c r="R470" i="59"/>
  <c r="P422" i="59"/>
  <c r="U422" i="59"/>
  <c r="V422" i="59" s="1"/>
  <c r="R422" i="59"/>
  <c r="P366" i="59"/>
  <c r="U366" i="59"/>
  <c r="V366" i="59" s="1"/>
  <c r="R366" i="59"/>
  <c r="P310" i="59"/>
  <c r="Q310" i="59" s="1"/>
  <c r="U310" i="59"/>
  <c r="V310" i="59" s="1"/>
  <c r="R310" i="59"/>
  <c r="P254" i="59"/>
  <c r="U254" i="59"/>
  <c r="V254" i="59" s="1"/>
  <c r="R254" i="59"/>
  <c r="P190" i="59"/>
  <c r="Q190" i="59" s="1"/>
  <c r="R190" i="59"/>
  <c r="P110" i="59"/>
  <c r="Q110" i="59" s="1"/>
  <c r="U110" i="59"/>
  <c r="V110" i="59" s="1"/>
  <c r="U190" i="59"/>
  <c r="V190" i="59" s="1"/>
  <c r="P504" i="59"/>
  <c r="U504" i="59"/>
  <c r="V504" i="59" s="1"/>
  <c r="R504" i="59"/>
  <c r="P496" i="59"/>
  <c r="R496" i="59"/>
  <c r="P488" i="59"/>
  <c r="Q488" i="59" s="1"/>
  <c r="U488" i="59"/>
  <c r="V488" i="59" s="1"/>
  <c r="R488" i="59"/>
  <c r="P480" i="59"/>
  <c r="R480" i="59"/>
  <c r="P472" i="59"/>
  <c r="U472" i="59"/>
  <c r="V472" i="59" s="1"/>
  <c r="R472" i="59"/>
  <c r="P464" i="59"/>
  <c r="Q464" i="59" s="1"/>
  <c r="R464" i="59"/>
  <c r="P456" i="59"/>
  <c r="U456" i="59"/>
  <c r="V456" i="59" s="1"/>
  <c r="R456" i="59"/>
  <c r="P448" i="59"/>
  <c r="R448" i="59"/>
  <c r="P440" i="59"/>
  <c r="U440" i="59"/>
  <c r="V440" i="59" s="1"/>
  <c r="R440" i="59"/>
  <c r="P432" i="59"/>
  <c r="R432" i="59"/>
  <c r="P424" i="59"/>
  <c r="Q424" i="59" s="1"/>
  <c r="U424" i="59"/>
  <c r="V424" i="59" s="1"/>
  <c r="R424" i="59"/>
  <c r="P416" i="59"/>
  <c r="R416" i="59"/>
  <c r="P408" i="59"/>
  <c r="U408" i="59"/>
  <c r="V408" i="59" s="1"/>
  <c r="R408" i="59"/>
  <c r="P400" i="59"/>
  <c r="R400" i="59"/>
  <c r="P392" i="59"/>
  <c r="U392" i="59"/>
  <c r="V392" i="59" s="1"/>
  <c r="R392" i="59"/>
  <c r="P384" i="59"/>
  <c r="Q384" i="59" s="1"/>
  <c r="R384" i="59"/>
  <c r="P376" i="59"/>
  <c r="U376" i="59"/>
  <c r="V376" i="59" s="1"/>
  <c r="R376" i="59"/>
  <c r="P368" i="59"/>
  <c r="R368" i="59"/>
  <c r="P360" i="59"/>
  <c r="Q360" i="59" s="1"/>
  <c r="U360" i="59"/>
  <c r="V360" i="59" s="1"/>
  <c r="R360" i="59"/>
  <c r="P352" i="59"/>
  <c r="R352" i="59"/>
  <c r="P344" i="59"/>
  <c r="U344" i="59"/>
  <c r="V344" i="59" s="1"/>
  <c r="R344" i="59"/>
  <c r="P336" i="59"/>
  <c r="Q336" i="59" s="1"/>
  <c r="R336" i="59"/>
  <c r="P328" i="59"/>
  <c r="U328" i="59"/>
  <c r="V328" i="59" s="1"/>
  <c r="R328" i="59"/>
  <c r="P320" i="59"/>
  <c r="R320" i="59"/>
  <c r="P312" i="59"/>
  <c r="U312" i="59"/>
  <c r="V312" i="59" s="1"/>
  <c r="R312" i="59"/>
  <c r="P304" i="59"/>
  <c r="R304" i="59"/>
  <c r="P296" i="59"/>
  <c r="Q296" i="59" s="1"/>
  <c r="U296" i="59"/>
  <c r="V296" i="59" s="1"/>
  <c r="R296" i="59"/>
  <c r="P288" i="59"/>
  <c r="Q288" i="59" s="1"/>
  <c r="R288" i="59"/>
  <c r="P280" i="59"/>
  <c r="U280" i="59"/>
  <c r="V280" i="59" s="1"/>
  <c r="R280" i="59"/>
  <c r="P272" i="59"/>
  <c r="R272" i="59"/>
  <c r="P264" i="59"/>
  <c r="U264" i="59"/>
  <c r="V264" i="59" s="1"/>
  <c r="R264" i="59"/>
  <c r="P256" i="59"/>
  <c r="Q256" i="59" s="1"/>
  <c r="R256" i="59"/>
  <c r="P248" i="59"/>
  <c r="U248" i="59"/>
  <c r="V248" i="59" s="1"/>
  <c r="R248" i="59"/>
  <c r="P240" i="59"/>
  <c r="Q240" i="59" s="1"/>
  <c r="R240" i="59"/>
  <c r="P232" i="59"/>
  <c r="Q232" i="59" s="1"/>
  <c r="U232" i="59"/>
  <c r="V232" i="59" s="1"/>
  <c r="R232" i="59"/>
  <c r="P224" i="59"/>
  <c r="U224" i="59"/>
  <c r="V224" i="59" s="1"/>
  <c r="R224" i="59"/>
  <c r="P216" i="59"/>
  <c r="U216" i="59"/>
  <c r="V216" i="59" s="1"/>
  <c r="R216" i="59"/>
  <c r="P208" i="59"/>
  <c r="Q208" i="59" s="1"/>
  <c r="U208" i="59"/>
  <c r="V208" i="59" s="1"/>
  <c r="R208" i="59"/>
  <c r="P200" i="59"/>
  <c r="U200" i="59"/>
  <c r="V200" i="59" s="1"/>
  <c r="R200" i="59"/>
  <c r="P192" i="59"/>
  <c r="U192" i="59"/>
  <c r="V192" i="59" s="1"/>
  <c r="R192" i="59"/>
  <c r="P184" i="59"/>
  <c r="U184" i="59"/>
  <c r="V184" i="59" s="1"/>
  <c r="R184" i="59"/>
  <c r="P176" i="59"/>
  <c r="U176" i="59"/>
  <c r="V176" i="59" s="1"/>
  <c r="R176" i="59"/>
  <c r="P168" i="59"/>
  <c r="Q168" i="59" s="1"/>
  <c r="U168" i="59"/>
  <c r="V168" i="59" s="1"/>
  <c r="R168" i="59"/>
  <c r="P160" i="59"/>
  <c r="R160" i="59"/>
  <c r="P152" i="59"/>
  <c r="R152" i="59"/>
  <c r="U152" i="59"/>
  <c r="V152" i="59" s="1"/>
  <c r="P144" i="59"/>
  <c r="Q144" i="59" s="1"/>
  <c r="R144" i="59"/>
  <c r="P136" i="59"/>
  <c r="R136" i="59"/>
  <c r="U136" i="59"/>
  <c r="V136" i="59" s="1"/>
  <c r="P128" i="59"/>
  <c r="R128" i="59"/>
  <c r="P120" i="59"/>
  <c r="R120" i="59"/>
  <c r="U120" i="59"/>
  <c r="V120" i="59" s="1"/>
  <c r="P112" i="59"/>
  <c r="R112" i="59"/>
  <c r="P104" i="59"/>
  <c r="R104" i="59"/>
  <c r="U104" i="59"/>
  <c r="V104" i="59" s="1"/>
  <c r="P96" i="59"/>
  <c r="Q96" i="59" s="1"/>
  <c r="R96" i="59"/>
  <c r="P88" i="59"/>
  <c r="Q88" i="59" s="1"/>
  <c r="R88" i="59"/>
  <c r="U88" i="59"/>
  <c r="V88" i="59" s="1"/>
  <c r="P80" i="59"/>
  <c r="AD80" i="59" s="1"/>
  <c r="R80" i="59"/>
  <c r="P72" i="59"/>
  <c r="R72" i="59"/>
  <c r="U72" i="59"/>
  <c r="V72" i="59" s="1"/>
  <c r="P64" i="59"/>
  <c r="Q64" i="59" s="1"/>
  <c r="R64" i="59"/>
  <c r="P56" i="59"/>
  <c r="R56" i="59"/>
  <c r="U56" i="59"/>
  <c r="V56" i="59" s="1"/>
  <c r="P48" i="59"/>
  <c r="R48" i="59"/>
  <c r="P40" i="59"/>
  <c r="Q40" i="59" s="1"/>
  <c r="R40" i="59"/>
  <c r="U40" i="59"/>
  <c r="V40" i="59" s="1"/>
  <c r="P32" i="59"/>
  <c r="R32" i="59"/>
  <c r="P24" i="59"/>
  <c r="R24" i="59"/>
  <c r="U24" i="59"/>
  <c r="V24" i="59" s="1"/>
  <c r="R492" i="59"/>
  <c r="R428" i="59"/>
  <c r="R356" i="59"/>
  <c r="R324" i="59"/>
  <c r="R292" i="59"/>
  <c r="R260" i="59"/>
  <c r="R228" i="59"/>
  <c r="R196" i="59"/>
  <c r="R158" i="59"/>
  <c r="R94" i="59"/>
  <c r="R30" i="59"/>
  <c r="U48" i="59"/>
  <c r="V48" i="59" s="1"/>
  <c r="U112" i="59"/>
  <c r="V112" i="59" s="1"/>
  <c r="U174" i="59"/>
  <c r="V174" i="59" s="1"/>
  <c r="U300" i="59"/>
  <c r="V300" i="59" s="1"/>
  <c r="U364" i="59"/>
  <c r="V364" i="59" s="1"/>
  <c r="U428" i="59"/>
  <c r="V428" i="59" s="1"/>
  <c r="U492" i="59"/>
  <c r="V492" i="59" s="1"/>
  <c r="P454" i="59"/>
  <c r="U454" i="59"/>
  <c r="V454" i="59" s="1"/>
  <c r="R454" i="59"/>
  <c r="P503" i="59"/>
  <c r="U503" i="59"/>
  <c r="V503" i="59" s="1"/>
  <c r="R503" i="59"/>
  <c r="P495" i="59"/>
  <c r="Q495" i="59" s="1"/>
  <c r="U495" i="59"/>
  <c r="V495" i="59" s="1"/>
  <c r="R495" i="59"/>
  <c r="P487" i="59"/>
  <c r="U487" i="59"/>
  <c r="V487" i="59" s="1"/>
  <c r="R487" i="59"/>
  <c r="P479" i="59"/>
  <c r="Q479" i="59" s="1"/>
  <c r="U479" i="59"/>
  <c r="V479" i="59" s="1"/>
  <c r="R479" i="59"/>
  <c r="P471" i="59"/>
  <c r="Q471" i="59" s="1"/>
  <c r="U471" i="59"/>
  <c r="V471" i="59" s="1"/>
  <c r="R471" i="59"/>
  <c r="P463" i="59"/>
  <c r="Q463" i="59" s="1"/>
  <c r="U463" i="59"/>
  <c r="V463" i="59" s="1"/>
  <c r="R463" i="59"/>
  <c r="P455" i="59"/>
  <c r="U455" i="59"/>
  <c r="V455" i="59" s="1"/>
  <c r="R455" i="59"/>
  <c r="P447" i="59"/>
  <c r="U447" i="59"/>
  <c r="V447" i="59" s="1"/>
  <c r="R447" i="59"/>
  <c r="P439" i="59"/>
  <c r="U439" i="59"/>
  <c r="V439" i="59" s="1"/>
  <c r="R439" i="59"/>
  <c r="P431" i="59"/>
  <c r="Q431" i="59" s="1"/>
  <c r="U431" i="59"/>
  <c r="V431" i="59" s="1"/>
  <c r="R431" i="59"/>
  <c r="P423" i="59"/>
  <c r="U423" i="59"/>
  <c r="V423" i="59" s="1"/>
  <c r="R423" i="59"/>
  <c r="P415" i="59"/>
  <c r="Q415" i="59" s="1"/>
  <c r="U415" i="59"/>
  <c r="V415" i="59" s="1"/>
  <c r="R415" i="59"/>
  <c r="P407" i="59"/>
  <c r="Q407" i="59" s="1"/>
  <c r="U407" i="59"/>
  <c r="V407" i="59" s="1"/>
  <c r="R407" i="59"/>
  <c r="P399" i="59"/>
  <c r="U399" i="59"/>
  <c r="V399" i="59" s="1"/>
  <c r="R399" i="59"/>
  <c r="P391" i="59"/>
  <c r="U391" i="59"/>
  <c r="V391" i="59" s="1"/>
  <c r="R391" i="59"/>
  <c r="P383" i="59"/>
  <c r="U383" i="59"/>
  <c r="V383" i="59" s="1"/>
  <c r="R383" i="59"/>
  <c r="P375" i="59"/>
  <c r="U375" i="59"/>
  <c r="V375" i="59" s="1"/>
  <c r="R375" i="59"/>
  <c r="P367" i="59"/>
  <c r="Q367" i="59" s="1"/>
  <c r="U367" i="59"/>
  <c r="V367" i="59" s="1"/>
  <c r="R367" i="59"/>
  <c r="P359" i="59"/>
  <c r="U359" i="59"/>
  <c r="V359" i="59" s="1"/>
  <c r="R359" i="59"/>
  <c r="P351" i="59"/>
  <c r="U351" i="59"/>
  <c r="V351" i="59" s="1"/>
  <c r="R351" i="59"/>
  <c r="P343" i="59"/>
  <c r="Q343" i="59" s="1"/>
  <c r="U343" i="59"/>
  <c r="V343" i="59" s="1"/>
  <c r="R343" i="59"/>
  <c r="P335" i="59"/>
  <c r="U335" i="59"/>
  <c r="V335" i="59" s="1"/>
  <c r="R335" i="59"/>
  <c r="P327" i="59"/>
  <c r="U327" i="59"/>
  <c r="V327" i="59" s="1"/>
  <c r="R327" i="59"/>
  <c r="P319" i="59"/>
  <c r="U319" i="59"/>
  <c r="V319" i="59" s="1"/>
  <c r="R319" i="59"/>
  <c r="P311" i="59"/>
  <c r="U311" i="59"/>
  <c r="V311" i="59" s="1"/>
  <c r="R311" i="59"/>
  <c r="P303" i="59"/>
  <c r="Q303" i="59" s="1"/>
  <c r="U303" i="59"/>
  <c r="V303" i="59" s="1"/>
  <c r="R303" i="59"/>
  <c r="P295" i="59"/>
  <c r="Q295" i="59" s="1"/>
  <c r="U295" i="59"/>
  <c r="V295" i="59" s="1"/>
  <c r="R295" i="59"/>
  <c r="P287" i="59"/>
  <c r="Q287" i="59" s="1"/>
  <c r="U287" i="59"/>
  <c r="V287" i="59" s="1"/>
  <c r="R287" i="59"/>
  <c r="P279" i="59"/>
  <c r="Q279" i="59" s="1"/>
  <c r="U279" i="59"/>
  <c r="V279" i="59" s="1"/>
  <c r="R279" i="59"/>
  <c r="P271" i="59"/>
  <c r="U271" i="59"/>
  <c r="V271" i="59" s="1"/>
  <c r="R271" i="59"/>
  <c r="P263" i="59"/>
  <c r="U263" i="59"/>
  <c r="V263" i="59" s="1"/>
  <c r="R263" i="59"/>
  <c r="P255" i="59"/>
  <c r="U255" i="59"/>
  <c r="V255" i="59" s="1"/>
  <c r="R255" i="59"/>
  <c r="P247" i="59"/>
  <c r="U247" i="59"/>
  <c r="V247" i="59" s="1"/>
  <c r="R247" i="59"/>
  <c r="P239" i="59"/>
  <c r="Q239" i="59" s="1"/>
  <c r="U239" i="59"/>
  <c r="V239" i="59" s="1"/>
  <c r="R239" i="59"/>
  <c r="P231" i="59"/>
  <c r="U231" i="59"/>
  <c r="V231" i="59" s="1"/>
  <c r="R231" i="59"/>
  <c r="P223" i="59"/>
  <c r="U223" i="59"/>
  <c r="V223" i="59" s="1"/>
  <c r="R223" i="59"/>
  <c r="P215" i="59"/>
  <c r="Q215" i="59" s="1"/>
  <c r="U215" i="59"/>
  <c r="V215" i="59" s="1"/>
  <c r="R215" i="59"/>
  <c r="P207" i="59"/>
  <c r="Q207" i="59" s="1"/>
  <c r="U207" i="59"/>
  <c r="V207" i="59" s="1"/>
  <c r="R207" i="59"/>
  <c r="P199" i="59"/>
  <c r="Q199" i="59" s="1"/>
  <c r="U199" i="59"/>
  <c r="V199" i="59" s="1"/>
  <c r="R199" i="59"/>
  <c r="P191" i="59"/>
  <c r="R191" i="59"/>
  <c r="U191" i="59"/>
  <c r="V191" i="59" s="1"/>
  <c r="P183" i="59"/>
  <c r="Q183" i="59" s="1"/>
  <c r="U183" i="59"/>
  <c r="V183" i="59" s="1"/>
  <c r="R183" i="59"/>
  <c r="P175" i="59"/>
  <c r="R175" i="59"/>
  <c r="U175" i="59"/>
  <c r="V175" i="59" s="1"/>
  <c r="P167" i="59"/>
  <c r="R167" i="59"/>
  <c r="U167" i="59"/>
  <c r="V167" i="59" s="1"/>
  <c r="P159" i="59"/>
  <c r="U159" i="59"/>
  <c r="V159" i="59" s="1"/>
  <c r="R159" i="59"/>
  <c r="P151" i="59"/>
  <c r="Q151" i="59" s="1"/>
  <c r="U151" i="59"/>
  <c r="V151" i="59" s="1"/>
  <c r="R151" i="59"/>
  <c r="P143" i="59"/>
  <c r="U143" i="59"/>
  <c r="V143" i="59" s="1"/>
  <c r="R143" i="59"/>
  <c r="P135" i="59"/>
  <c r="U135" i="59"/>
  <c r="V135" i="59" s="1"/>
  <c r="R135" i="59"/>
  <c r="P127" i="59"/>
  <c r="U127" i="59"/>
  <c r="V127" i="59" s="1"/>
  <c r="R127" i="59"/>
  <c r="P119" i="59"/>
  <c r="U119" i="59"/>
  <c r="V119" i="59" s="1"/>
  <c r="R119" i="59"/>
  <c r="P111" i="59"/>
  <c r="U111" i="59"/>
  <c r="V111" i="59" s="1"/>
  <c r="R111" i="59"/>
  <c r="P103" i="59"/>
  <c r="U103" i="59"/>
  <c r="V103" i="59" s="1"/>
  <c r="R103" i="59"/>
  <c r="P95" i="59"/>
  <c r="U95" i="59"/>
  <c r="V95" i="59" s="1"/>
  <c r="R95" i="59"/>
  <c r="P87" i="59"/>
  <c r="Q87" i="59" s="1"/>
  <c r="U87" i="59"/>
  <c r="V87" i="59" s="1"/>
  <c r="R87" i="59"/>
  <c r="P79" i="59"/>
  <c r="Q79" i="59" s="1"/>
  <c r="U79" i="59"/>
  <c r="V79" i="59" s="1"/>
  <c r="R79" i="59"/>
  <c r="P71" i="59"/>
  <c r="Q71" i="59" s="1"/>
  <c r="U71" i="59"/>
  <c r="V71" i="59" s="1"/>
  <c r="R71" i="59"/>
  <c r="P63" i="59"/>
  <c r="U63" i="59"/>
  <c r="V63" i="59" s="1"/>
  <c r="R63" i="59"/>
  <c r="P55" i="59"/>
  <c r="Q55" i="59" s="1"/>
  <c r="U55" i="59"/>
  <c r="V55" i="59" s="1"/>
  <c r="R55" i="59"/>
  <c r="P47" i="59"/>
  <c r="U47" i="59"/>
  <c r="V47" i="59" s="1"/>
  <c r="R47" i="59"/>
  <c r="P39" i="59"/>
  <c r="U39" i="59"/>
  <c r="V39" i="59" s="1"/>
  <c r="R39" i="59"/>
  <c r="P31" i="59"/>
  <c r="U31" i="59"/>
  <c r="V31" i="59" s="1"/>
  <c r="R31" i="59"/>
  <c r="P23" i="59"/>
  <c r="Q23" i="59" s="1"/>
  <c r="U23" i="59"/>
  <c r="V23" i="59" s="1"/>
  <c r="R23" i="59"/>
  <c r="R468" i="59"/>
  <c r="R404" i="59"/>
  <c r="U52" i="59"/>
  <c r="V52" i="59" s="1"/>
  <c r="U116" i="59"/>
  <c r="V116" i="59" s="1"/>
  <c r="U240" i="59"/>
  <c r="V240" i="59" s="1"/>
  <c r="U304" i="59"/>
  <c r="V304" i="59" s="1"/>
  <c r="U368" i="59"/>
  <c r="V368" i="59" s="1"/>
  <c r="U432" i="59"/>
  <c r="V432" i="59" s="1"/>
  <c r="U496" i="59"/>
  <c r="V496" i="59" s="1"/>
  <c r="P19" i="59"/>
  <c r="Q19" i="59" s="1"/>
  <c r="U19" i="59"/>
  <c r="V19" i="59" s="1"/>
  <c r="R19" i="59"/>
  <c r="P11" i="59"/>
  <c r="Q11" i="59" s="1"/>
  <c r="U11" i="59"/>
  <c r="V11" i="59" s="1"/>
  <c r="R11" i="59"/>
  <c r="P18" i="59"/>
  <c r="Q18" i="59" s="1"/>
  <c r="U18" i="59"/>
  <c r="V18" i="59" s="1"/>
  <c r="P10" i="59"/>
  <c r="U10" i="59"/>
  <c r="V10" i="59" s="1"/>
  <c r="P16" i="59"/>
  <c r="Q16" i="59" s="1"/>
  <c r="R16" i="59"/>
  <c r="P8" i="59"/>
  <c r="R8" i="59"/>
  <c r="R18" i="59"/>
  <c r="P15" i="59"/>
  <c r="Q15" i="59" s="1"/>
  <c r="U15" i="59"/>
  <c r="V15" i="59" s="1"/>
  <c r="R15" i="59"/>
  <c r="P7" i="59"/>
  <c r="U7" i="59"/>
  <c r="V7" i="59" s="1"/>
  <c r="Q399" i="59"/>
  <c r="Q493" i="59"/>
  <c r="Q429" i="59"/>
  <c r="Q365" i="59"/>
  <c r="Q301" i="59"/>
  <c r="Q237" i="59"/>
  <c r="Q149" i="59"/>
  <c r="Q224" i="59"/>
  <c r="Q248" i="59"/>
  <c r="Q304" i="59"/>
  <c r="Q320" i="59"/>
  <c r="Q344" i="59"/>
  <c r="Q376" i="59"/>
  <c r="Q400" i="59"/>
  <c r="Q416" i="59"/>
  <c r="Q448" i="59"/>
  <c r="Q472" i="59"/>
  <c r="Q480" i="59"/>
  <c r="Q496" i="59"/>
  <c r="Q504" i="59"/>
  <c r="Q220" i="59"/>
  <c r="Q236" i="59"/>
  <c r="Q244" i="59"/>
  <c r="Q252" i="59"/>
  <c r="Q260" i="59"/>
  <c r="Q268" i="59"/>
  <c r="Q284" i="59"/>
  <c r="Q332" i="59"/>
  <c r="Q340" i="59"/>
  <c r="Q348" i="59"/>
  <c r="Q356" i="59"/>
  <c r="Q364" i="59"/>
  <c r="Q372" i="59"/>
  <c r="Q380" i="59"/>
  <c r="Q396" i="59"/>
  <c r="Q404" i="59"/>
  <c r="Q412" i="59"/>
  <c r="Q428" i="59"/>
  <c r="Q452" i="59"/>
  <c r="Q468" i="59"/>
  <c r="Q13" i="59"/>
  <c r="Q61" i="59"/>
  <c r="Q39" i="59"/>
  <c r="Q103" i="59"/>
  <c r="Q119" i="59"/>
  <c r="Q167" i="59"/>
  <c r="Q191" i="59"/>
  <c r="Q423" i="59"/>
  <c r="Q359" i="59"/>
  <c r="Q231" i="59"/>
  <c r="Q141" i="59"/>
  <c r="Q77" i="59"/>
  <c r="Q389" i="59"/>
  <c r="Q325" i="59"/>
  <c r="Q293" i="59"/>
  <c r="Q229" i="59"/>
  <c r="Q447" i="59"/>
  <c r="Q351" i="59"/>
  <c r="Q189" i="59"/>
  <c r="Q125" i="59"/>
  <c r="Q445" i="59"/>
  <c r="Q381" i="59"/>
  <c r="Q317" i="59"/>
  <c r="Q253" i="59"/>
  <c r="Q37" i="59"/>
  <c r="Q503" i="59"/>
  <c r="Q375" i="59"/>
  <c r="Q311" i="59"/>
  <c r="Q247" i="59"/>
  <c r="Q469" i="59"/>
  <c r="Q405" i="59"/>
  <c r="Q341" i="59"/>
  <c r="Q309" i="59"/>
  <c r="Q277" i="59"/>
  <c r="Q213" i="59"/>
  <c r="Q165" i="59"/>
  <c r="Q101" i="59"/>
  <c r="Q21" i="59"/>
  <c r="Q494" i="59"/>
  <c r="Q478" i="59"/>
  <c r="Q462" i="59"/>
  <c r="Q454" i="59"/>
  <c r="Q446" i="59"/>
  <c r="Q430" i="59"/>
  <c r="Q398" i="59"/>
  <c r="Q390" i="59"/>
  <c r="Q382" i="59"/>
  <c r="Q366" i="59"/>
  <c r="Q350" i="59"/>
  <c r="Q342" i="59"/>
  <c r="Q294" i="59"/>
  <c r="Q286" i="59"/>
  <c r="Q278" i="59"/>
  <c r="Q270" i="59"/>
  <c r="Q254" i="59"/>
  <c r="Q206" i="59"/>
  <c r="Q198" i="59"/>
  <c r="Q182" i="59"/>
  <c r="Q166" i="59"/>
  <c r="Q158" i="59"/>
  <c r="Q118" i="59"/>
  <c r="Q102" i="59"/>
  <c r="Q86" i="59"/>
  <c r="Q78" i="59"/>
  <c r="Q70" i="59"/>
  <c r="Q62" i="59"/>
  <c r="Q46" i="59"/>
  <c r="Q38" i="59"/>
  <c r="Q30" i="59"/>
  <c r="Q22" i="59"/>
  <c r="Q14" i="59"/>
  <c r="Q180" i="59"/>
  <c r="Q172" i="59"/>
  <c r="Q156" i="59"/>
  <c r="Q132" i="59"/>
  <c r="Q124" i="59"/>
  <c r="Q116" i="59"/>
  <c r="Q92" i="59"/>
  <c r="Q76" i="59"/>
  <c r="Q60" i="59"/>
  <c r="Q52" i="59"/>
  <c r="Q28" i="59"/>
  <c r="Q20" i="59"/>
  <c r="Q12" i="59"/>
  <c r="Q491" i="59"/>
  <c r="Q483" i="59"/>
  <c r="Q451" i="59"/>
  <c r="Q427" i="59"/>
  <c r="Q419" i="59"/>
  <c r="Q387" i="59"/>
  <c r="Q371" i="59"/>
  <c r="Q363" i="59"/>
  <c r="Q347" i="59"/>
  <c r="Q323" i="59"/>
  <c r="Q307" i="59"/>
  <c r="Q299" i="59"/>
  <c r="Q291" i="59"/>
  <c r="Q259" i="59"/>
  <c r="Q243" i="59"/>
  <c r="Q235" i="59"/>
  <c r="Q179" i="59"/>
  <c r="Q171" i="59"/>
  <c r="Q163" i="59"/>
  <c r="Q155" i="59"/>
  <c r="Q147" i="59"/>
  <c r="Q131" i="59"/>
  <c r="Q107" i="59"/>
  <c r="Q91" i="59"/>
  <c r="Q83" i="59"/>
  <c r="Q75" i="59"/>
  <c r="Q67" i="59"/>
  <c r="Q27" i="59"/>
  <c r="Q498" i="59"/>
  <c r="Q482" i="59"/>
  <c r="Q450" i="59"/>
  <c r="Q434" i="59"/>
  <c r="Q418" i="59"/>
  <c r="Q386" i="59"/>
  <c r="Q354" i="59"/>
  <c r="Q346" i="59"/>
  <c r="Q322" i="59"/>
  <c r="Q290" i="59"/>
  <c r="Q282" i="59"/>
  <c r="Q274" i="59"/>
  <c r="Q258" i="59"/>
  <c r="Q226" i="59"/>
  <c r="Q218" i="59"/>
  <c r="Q210" i="59"/>
  <c r="Q194" i="59"/>
  <c r="Q186" i="59"/>
  <c r="Q154" i="59"/>
  <c r="Q146" i="59"/>
  <c r="Q130" i="59"/>
  <c r="Q106" i="59"/>
  <c r="Q98" i="59"/>
  <c r="Q82" i="59"/>
  <c r="Q74" i="59"/>
  <c r="Q58" i="59"/>
  <c r="Q10" i="59"/>
  <c r="Q497" i="59"/>
  <c r="Q465" i="59"/>
  <c r="Q457" i="59"/>
  <c r="Q433" i="59"/>
  <c r="Q401" i="59"/>
  <c r="Q393" i="59"/>
  <c r="Q353" i="59"/>
  <c r="Q337" i="59"/>
  <c r="Q329" i="59"/>
  <c r="Q289" i="59"/>
  <c r="Q281" i="59"/>
  <c r="Q273" i="59"/>
  <c r="Q265" i="59"/>
  <c r="Q217" i="59"/>
  <c r="Q201" i="59"/>
  <c r="Q153" i="59"/>
  <c r="Q145" i="59"/>
  <c r="Q113" i="59"/>
  <c r="Q105" i="59"/>
  <c r="Q89" i="59"/>
  <c r="Q81" i="59"/>
  <c r="Q49" i="59"/>
  <c r="Q41" i="59"/>
  <c r="Q25" i="59"/>
  <c r="Q17" i="59"/>
  <c r="Q176" i="59"/>
  <c r="Q160" i="59"/>
  <c r="Q152" i="59"/>
  <c r="Q128" i="59"/>
  <c r="Q112" i="59"/>
  <c r="Q80" i="59"/>
  <c r="Q56" i="59"/>
  <c r="Q32" i="59"/>
  <c r="Q24" i="59"/>
  <c r="O3" i="59"/>
  <c r="T427" i="59" l="1"/>
  <c r="AL403" i="59"/>
  <c r="T467" i="59"/>
  <c r="AL467" i="59"/>
  <c r="S403" i="59"/>
  <c r="S427" i="59"/>
  <c r="BD11" i="59"/>
  <c r="BC11" i="59"/>
  <c r="BB12" i="59"/>
  <c r="AM426" i="59"/>
  <c r="AM218" i="59"/>
  <c r="AM138" i="59"/>
  <c r="AM474" i="59"/>
  <c r="AM506" i="59"/>
  <c r="AM258" i="59"/>
  <c r="AM410" i="59"/>
  <c r="AM322" i="59"/>
  <c r="AM252" i="59"/>
  <c r="AM26" i="59"/>
  <c r="AM154" i="59"/>
  <c r="AM186" i="59"/>
  <c r="AM403" i="59"/>
  <c r="AM282" i="59"/>
  <c r="AM466" i="59"/>
  <c r="AM450" i="59"/>
  <c r="AM194" i="59"/>
  <c r="AM427" i="59"/>
  <c r="AM354" i="59"/>
  <c r="AM507" i="59"/>
  <c r="AM419" i="59"/>
  <c r="AM290" i="59"/>
  <c r="AM10" i="59"/>
  <c r="AM250" i="59"/>
  <c r="AM451" i="59"/>
  <c r="AM378" i="59"/>
  <c r="AM346" i="59"/>
  <c r="AM314" i="59"/>
  <c r="AM402" i="59"/>
  <c r="AM467" i="59"/>
  <c r="AM463" i="59"/>
  <c r="S463" i="59"/>
  <c r="AL463" i="59"/>
  <c r="S296" i="59"/>
  <c r="AM296" i="59"/>
  <c r="AL296" i="59"/>
  <c r="S234" i="59"/>
  <c r="AM234" i="59"/>
  <c r="AL234" i="59"/>
  <c r="AM499" i="59"/>
  <c r="AL499" i="59"/>
  <c r="S499" i="59"/>
  <c r="S107" i="59"/>
  <c r="AM107" i="59"/>
  <c r="AL107" i="59"/>
  <c r="S462" i="59"/>
  <c r="AM462" i="59"/>
  <c r="AL462" i="59"/>
  <c r="S294" i="59"/>
  <c r="AL294" i="59"/>
  <c r="AM294" i="59"/>
  <c r="S177" i="59"/>
  <c r="AM177" i="59"/>
  <c r="AL177" i="59"/>
  <c r="S370" i="59"/>
  <c r="AM370" i="59"/>
  <c r="AL370" i="59"/>
  <c r="S404" i="59"/>
  <c r="AM404" i="59"/>
  <c r="AL404" i="59"/>
  <c r="S39" i="59"/>
  <c r="AM39" i="59"/>
  <c r="AL39" i="59"/>
  <c r="S103" i="59"/>
  <c r="AM103" i="59"/>
  <c r="AL103" i="59"/>
  <c r="AM231" i="59"/>
  <c r="S231" i="59"/>
  <c r="AL231" i="59"/>
  <c r="AM295" i="59"/>
  <c r="S295" i="59"/>
  <c r="AL295" i="59"/>
  <c r="AM359" i="59"/>
  <c r="S359" i="59"/>
  <c r="AL359" i="59"/>
  <c r="S423" i="59"/>
  <c r="AM423" i="59"/>
  <c r="AL423" i="59"/>
  <c r="S487" i="59"/>
  <c r="AM487" i="59"/>
  <c r="AL487" i="59"/>
  <c r="S260" i="59"/>
  <c r="AM260" i="59"/>
  <c r="AL260" i="59"/>
  <c r="S80" i="59"/>
  <c r="AM80" i="59"/>
  <c r="AL80" i="59"/>
  <c r="S104" i="59"/>
  <c r="AM104" i="59"/>
  <c r="AL104" i="59"/>
  <c r="S224" i="59"/>
  <c r="AM224" i="59"/>
  <c r="AL224" i="59"/>
  <c r="S248" i="59"/>
  <c r="AM248" i="59"/>
  <c r="AL248" i="59"/>
  <c r="S272" i="59"/>
  <c r="AM272" i="59"/>
  <c r="AL272" i="59"/>
  <c r="S376" i="59"/>
  <c r="AM376" i="59"/>
  <c r="AL376" i="59"/>
  <c r="S400" i="59"/>
  <c r="AM400" i="59"/>
  <c r="AL400" i="59"/>
  <c r="S504" i="59"/>
  <c r="AM504" i="59"/>
  <c r="AL504" i="59"/>
  <c r="S254" i="59"/>
  <c r="AL254" i="59"/>
  <c r="AM254" i="59"/>
  <c r="S266" i="59"/>
  <c r="AM266" i="59"/>
  <c r="AL266" i="59"/>
  <c r="S475" i="59"/>
  <c r="AM475" i="59"/>
  <c r="AL475" i="59"/>
  <c r="S25" i="59"/>
  <c r="AL25" i="59"/>
  <c r="AM25" i="59"/>
  <c r="S65" i="59"/>
  <c r="AM65" i="59"/>
  <c r="AL65" i="59"/>
  <c r="S89" i="59"/>
  <c r="AM89" i="59"/>
  <c r="AL89" i="59"/>
  <c r="S129" i="59"/>
  <c r="AM129" i="59"/>
  <c r="AL129" i="59"/>
  <c r="S153" i="59"/>
  <c r="AM153" i="59"/>
  <c r="AL153" i="59"/>
  <c r="S201" i="59"/>
  <c r="AM201" i="59"/>
  <c r="AL201" i="59"/>
  <c r="S225" i="59"/>
  <c r="AM225" i="59"/>
  <c r="AL225" i="59"/>
  <c r="S249" i="59"/>
  <c r="AM249" i="59"/>
  <c r="AL249" i="59"/>
  <c r="S313" i="59"/>
  <c r="AM313" i="59"/>
  <c r="AL313" i="59"/>
  <c r="AM377" i="59"/>
  <c r="S377" i="59"/>
  <c r="AL377" i="59"/>
  <c r="S441" i="59"/>
  <c r="AM441" i="59"/>
  <c r="AL441" i="59"/>
  <c r="S505" i="59"/>
  <c r="AM505" i="59"/>
  <c r="AL505" i="59"/>
  <c r="S430" i="59"/>
  <c r="AM430" i="59"/>
  <c r="AL430" i="59"/>
  <c r="S332" i="59"/>
  <c r="AM332" i="59"/>
  <c r="AL332" i="59"/>
  <c r="S130" i="59"/>
  <c r="AM130" i="59"/>
  <c r="AL130" i="59"/>
  <c r="S178" i="59"/>
  <c r="AL178" i="59"/>
  <c r="AM178" i="59"/>
  <c r="S142" i="59"/>
  <c r="AM142" i="59"/>
  <c r="AL142" i="59"/>
  <c r="S446" i="59"/>
  <c r="AM446" i="59"/>
  <c r="AL446" i="59"/>
  <c r="S459" i="59"/>
  <c r="AM459" i="59"/>
  <c r="AL459" i="59"/>
  <c r="S67" i="59"/>
  <c r="AM67" i="59"/>
  <c r="AL67" i="59"/>
  <c r="S131" i="59"/>
  <c r="AM131" i="59"/>
  <c r="AL131" i="59"/>
  <c r="S219" i="59"/>
  <c r="AM219" i="59"/>
  <c r="AL219" i="59"/>
  <c r="S283" i="59"/>
  <c r="AM283" i="59"/>
  <c r="AL283" i="59"/>
  <c r="S347" i="59"/>
  <c r="AM347" i="59"/>
  <c r="AL347" i="59"/>
  <c r="S28" i="59"/>
  <c r="AM28" i="59"/>
  <c r="AL28" i="59"/>
  <c r="S124" i="59"/>
  <c r="AM124" i="59"/>
  <c r="AL124" i="59"/>
  <c r="S172" i="59"/>
  <c r="AM172" i="59"/>
  <c r="AL172" i="59"/>
  <c r="S182" i="59"/>
  <c r="AM182" i="59"/>
  <c r="AL182" i="59"/>
  <c r="S278" i="59"/>
  <c r="AL278" i="59"/>
  <c r="AM278" i="59"/>
  <c r="S37" i="59"/>
  <c r="AL37" i="59"/>
  <c r="AM37" i="59"/>
  <c r="S61" i="59"/>
  <c r="AM61" i="59"/>
  <c r="AL61" i="59"/>
  <c r="S101" i="59"/>
  <c r="AM101" i="59"/>
  <c r="AL101" i="59"/>
  <c r="S125" i="59"/>
  <c r="AM125" i="59"/>
  <c r="AL125" i="59"/>
  <c r="S189" i="59"/>
  <c r="AM189" i="59"/>
  <c r="AL189" i="59"/>
  <c r="S277" i="59"/>
  <c r="AM277" i="59"/>
  <c r="AL277" i="59"/>
  <c r="S341" i="59"/>
  <c r="AM341" i="59"/>
  <c r="AL341" i="59"/>
  <c r="S405" i="59"/>
  <c r="AM405" i="59"/>
  <c r="AL405" i="59"/>
  <c r="S469" i="59"/>
  <c r="AM469" i="59"/>
  <c r="AL469" i="59"/>
  <c r="S438" i="59"/>
  <c r="AM438" i="59"/>
  <c r="AL438" i="59"/>
  <c r="S122" i="59"/>
  <c r="AM122" i="59"/>
  <c r="AL122" i="59"/>
  <c r="AM418" i="59"/>
  <c r="S418" i="59"/>
  <c r="AL418" i="59"/>
  <c r="S188" i="59"/>
  <c r="AM188" i="59"/>
  <c r="AL188" i="59"/>
  <c r="S15" i="59"/>
  <c r="AM15" i="59"/>
  <c r="AL15" i="59"/>
  <c r="S271" i="59"/>
  <c r="AM271" i="59"/>
  <c r="AL271" i="59"/>
  <c r="S152" i="59"/>
  <c r="AM152" i="59"/>
  <c r="AL152" i="59"/>
  <c r="AM353" i="59"/>
  <c r="S353" i="59"/>
  <c r="AL353" i="59"/>
  <c r="S300" i="59"/>
  <c r="AM300" i="59"/>
  <c r="AL300" i="59"/>
  <c r="S116" i="59"/>
  <c r="AM116" i="59"/>
  <c r="AL116" i="59"/>
  <c r="S76" i="59"/>
  <c r="AM76" i="59"/>
  <c r="AL76" i="59"/>
  <c r="S445" i="59"/>
  <c r="AM445" i="59"/>
  <c r="AL445" i="59"/>
  <c r="S58" i="59"/>
  <c r="AM58" i="59"/>
  <c r="AL58" i="59"/>
  <c r="S126" i="59"/>
  <c r="AL126" i="59"/>
  <c r="AM126" i="59"/>
  <c r="S468" i="59"/>
  <c r="AM468" i="59"/>
  <c r="AL468" i="59"/>
  <c r="AM63" i="59"/>
  <c r="S63" i="59"/>
  <c r="AL63" i="59"/>
  <c r="AM127" i="59"/>
  <c r="S127" i="59"/>
  <c r="AL127" i="59"/>
  <c r="S167" i="59"/>
  <c r="AM167" i="59"/>
  <c r="AL167" i="59"/>
  <c r="AM255" i="59"/>
  <c r="S255" i="59"/>
  <c r="AL255" i="59"/>
  <c r="AM319" i="59"/>
  <c r="S319" i="59"/>
  <c r="AL319" i="59"/>
  <c r="AM383" i="59"/>
  <c r="AL383" i="59"/>
  <c r="S383" i="59"/>
  <c r="AM447" i="59"/>
  <c r="S447" i="59"/>
  <c r="AL447" i="59"/>
  <c r="S454" i="59"/>
  <c r="AM454" i="59"/>
  <c r="AL454" i="59"/>
  <c r="S292" i="59"/>
  <c r="AM292" i="59"/>
  <c r="AL292" i="59"/>
  <c r="S32" i="59"/>
  <c r="AL32" i="59"/>
  <c r="AM32" i="59"/>
  <c r="S56" i="59"/>
  <c r="AM56" i="59"/>
  <c r="AL56" i="59"/>
  <c r="S160" i="59"/>
  <c r="AM160" i="59"/>
  <c r="AL160" i="59"/>
  <c r="S184" i="59"/>
  <c r="AM184" i="59"/>
  <c r="AL184" i="59"/>
  <c r="S328" i="59"/>
  <c r="AM328" i="59"/>
  <c r="AL328" i="59"/>
  <c r="S352" i="59"/>
  <c r="AM352" i="59"/>
  <c r="AL352" i="59"/>
  <c r="S456" i="59"/>
  <c r="AM456" i="59"/>
  <c r="AL456" i="59"/>
  <c r="S480" i="59"/>
  <c r="AM480" i="59"/>
  <c r="AL480" i="59"/>
  <c r="S422" i="59"/>
  <c r="AM422" i="59"/>
  <c r="AL422" i="59"/>
  <c r="S298" i="59"/>
  <c r="AM298" i="59"/>
  <c r="AL298" i="59"/>
  <c r="AM498" i="59"/>
  <c r="S498" i="59"/>
  <c r="AL498" i="59"/>
  <c r="S273" i="59"/>
  <c r="AM273" i="59"/>
  <c r="AL273" i="59"/>
  <c r="AM337" i="59"/>
  <c r="S337" i="59"/>
  <c r="AL337" i="59"/>
  <c r="AM401" i="59"/>
  <c r="S401" i="59"/>
  <c r="AL401" i="59"/>
  <c r="AM465" i="59"/>
  <c r="S465" i="59"/>
  <c r="AL465" i="59"/>
  <c r="S364" i="59"/>
  <c r="AM364" i="59"/>
  <c r="AL364" i="59"/>
  <c r="S82" i="59"/>
  <c r="AM82" i="59"/>
  <c r="AL82" i="59"/>
  <c r="S12" i="59"/>
  <c r="AM12" i="59"/>
  <c r="AL12" i="59"/>
  <c r="S60" i="59"/>
  <c r="AM60" i="59"/>
  <c r="AL60" i="59"/>
  <c r="S132" i="59"/>
  <c r="AM132" i="59"/>
  <c r="AL132" i="59"/>
  <c r="S22" i="59"/>
  <c r="AM22" i="59"/>
  <c r="AL22" i="59"/>
  <c r="S102" i="59"/>
  <c r="AM102" i="59"/>
  <c r="AL102" i="59"/>
  <c r="S214" i="59"/>
  <c r="AL214" i="59"/>
  <c r="AM214" i="59"/>
  <c r="S286" i="59"/>
  <c r="AL286" i="59"/>
  <c r="AM286" i="59"/>
  <c r="S27" i="59"/>
  <c r="AM27" i="59"/>
  <c r="AL27" i="59"/>
  <c r="S91" i="59"/>
  <c r="AM91" i="59"/>
  <c r="AL91" i="59"/>
  <c r="S155" i="59"/>
  <c r="AM155" i="59"/>
  <c r="AL155" i="59"/>
  <c r="S243" i="59"/>
  <c r="AM243" i="59"/>
  <c r="AL243" i="59"/>
  <c r="S307" i="59"/>
  <c r="AM307" i="59"/>
  <c r="AL307" i="59"/>
  <c r="S371" i="59"/>
  <c r="AM371" i="59"/>
  <c r="AL371" i="59"/>
  <c r="S276" i="59"/>
  <c r="AM276" i="59"/>
  <c r="AL276" i="59"/>
  <c r="S78" i="59"/>
  <c r="AL78" i="59"/>
  <c r="AM78" i="59"/>
  <c r="S118" i="59"/>
  <c r="AM118" i="59"/>
  <c r="AL118" i="59"/>
  <c r="S382" i="59"/>
  <c r="AL382" i="59"/>
  <c r="AM382" i="59"/>
  <c r="S213" i="59"/>
  <c r="AM213" i="59"/>
  <c r="AL213" i="59"/>
  <c r="S237" i="59"/>
  <c r="AM237" i="59"/>
  <c r="AL237" i="59"/>
  <c r="S301" i="59"/>
  <c r="AM301" i="59"/>
  <c r="AL301" i="59"/>
  <c r="S365" i="59"/>
  <c r="AM365" i="59"/>
  <c r="AL365" i="59"/>
  <c r="S429" i="59"/>
  <c r="AM429" i="59"/>
  <c r="AL429" i="59"/>
  <c r="S493" i="59"/>
  <c r="AM493" i="59"/>
  <c r="AL493" i="59"/>
  <c r="S86" i="59"/>
  <c r="AM86" i="59"/>
  <c r="AL86" i="59"/>
  <c r="AM482" i="59"/>
  <c r="S482" i="59"/>
  <c r="AL482" i="59"/>
  <c r="S212" i="59"/>
  <c r="AM212" i="59"/>
  <c r="AL212" i="59"/>
  <c r="S284" i="59"/>
  <c r="AM284" i="59"/>
  <c r="AL284" i="59"/>
  <c r="S484" i="59"/>
  <c r="AM484" i="59"/>
  <c r="AL484" i="59"/>
  <c r="S79" i="59"/>
  <c r="AL79" i="59"/>
  <c r="AM79" i="59"/>
  <c r="S320" i="59"/>
  <c r="AM320" i="59"/>
  <c r="AL320" i="59"/>
  <c r="S87" i="59"/>
  <c r="AM87" i="59"/>
  <c r="AL87" i="59"/>
  <c r="AM191" i="59"/>
  <c r="S191" i="59"/>
  <c r="AL191" i="59"/>
  <c r="AM215" i="59"/>
  <c r="S215" i="59"/>
  <c r="AL215" i="59"/>
  <c r="AM279" i="59"/>
  <c r="S279" i="59"/>
  <c r="AL279" i="59"/>
  <c r="S343" i="59"/>
  <c r="AM343" i="59"/>
  <c r="AL343" i="59"/>
  <c r="S407" i="59"/>
  <c r="AM407" i="59"/>
  <c r="AL407" i="59"/>
  <c r="S471" i="59"/>
  <c r="AM471" i="59"/>
  <c r="AL471" i="59"/>
  <c r="S324" i="59"/>
  <c r="AM324" i="59"/>
  <c r="AL324" i="59"/>
  <c r="S112" i="59"/>
  <c r="AM112" i="59"/>
  <c r="AL112" i="59"/>
  <c r="S136" i="59"/>
  <c r="AL136" i="59"/>
  <c r="AM136" i="59"/>
  <c r="S208" i="59"/>
  <c r="AM208" i="59"/>
  <c r="AL208" i="59"/>
  <c r="S280" i="59"/>
  <c r="AM280" i="59"/>
  <c r="AL280" i="59"/>
  <c r="S304" i="59"/>
  <c r="AM304" i="59"/>
  <c r="AL304" i="59"/>
  <c r="S408" i="59"/>
  <c r="AM408" i="59"/>
  <c r="AL408" i="59"/>
  <c r="S432" i="59"/>
  <c r="AM432" i="59"/>
  <c r="AL432" i="59"/>
  <c r="S330" i="59"/>
  <c r="AM330" i="59"/>
  <c r="AL330" i="59"/>
  <c r="S9" i="59"/>
  <c r="AL9" i="59"/>
  <c r="AM9" i="59"/>
  <c r="S49" i="59"/>
  <c r="AL49" i="59"/>
  <c r="AM49" i="59"/>
  <c r="S73" i="59"/>
  <c r="AM73" i="59"/>
  <c r="AL73" i="59"/>
  <c r="S113" i="59"/>
  <c r="AM113" i="59"/>
  <c r="AL113" i="59"/>
  <c r="S137" i="59"/>
  <c r="AM137" i="59"/>
  <c r="AL137" i="59"/>
  <c r="S185" i="59"/>
  <c r="AM185" i="59"/>
  <c r="AL185" i="59"/>
  <c r="S233" i="59"/>
  <c r="AM233" i="59"/>
  <c r="AL233" i="59"/>
  <c r="S297" i="59"/>
  <c r="AM297" i="59"/>
  <c r="AL297" i="59"/>
  <c r="AM361" i="59"/>
  <c r="S361" i="59"/>
  <c r="AL361" i="59"/>
  <c r="S425" i="59"/>
  <c r="AM425" i="59"/>
  <c r="AL425" i="59"/>
  <c r="S489" i="59"/>
  <c r="AM489" i="59"/>
  <c r="AL489" i="59"/>
  <c r="S206" i="59"/>
  <c r="AL206" i="59"/>
  <c r="AM206" i="59"/>
  <c r="S334" i="59"/>
  <c r="AL334" i="59"/>
  <c r="AM334" i="59"/>
  <c r="S394" i="59"/>
  <c r="AM394" i="59"/>
  <c r="AL394" i="59"/>
  <c r="S34" i="59"/>
  <c r="AM34" i="59"/>
  <c r="AL34" i="59"/>
  <c r="S162" i="59"/>
  <c r="AM162" i="59"/>
  <c r="AL162" i="59"/>
  <c r="S374" i="59"/>
  <c r="AL374" i="59"/>
  <c r="AM374" i="59"/>
  <c r="S51" i="59"/>
  <c r="AM51" i="59"/>
  <c r="AL51" i="59"/>
  <c r="S115" i="59"/>
  <c r="AM115" i="59"/>
  <c r="AL115" i="59"/>
  <c r="S179" i="59"/>
  <c r="AM179" i="59"/>
  <c r="AL179" i="59"/>
  <c r="S203" i="59"/>
  <c r="AM203" i="59"/>
  <c r="AL203" i="59"/>
  <c r="S267" i="59"/>
  <c r="AM267" i="59"/>
  <c r="AL267" i="59"/>
  <c r="S331" i="59"/>
  <c r="AM331" i="59"/>
  <c r="AL331" i="59"/>
  <c r="S340" i="59"/>
  <c r="AM340" i="59"/>
  <c r="AL340" i="59"/>
  <c r="S52" i="59"/>
  <c r="AM52" i="59"/>
  <c r="AL52" i="59"/>
  <c r="S92" i="59"/>
  <c r="AM92" i="59"/>
  <c r="AL92" i="59"/>
  <c r="S502" i="59"/>
  <c r="AM502" i="59"/>
  <c r="AL502" i="59"/>
  <c r="S21" i="59"/>
  <c r="AM21" i="59"/>
  <c r="AL21" i="59"/>
  <c r="S45" i="59"/>
  <c r="AM45" i="59"/>
  <c r="AL45" i="59"/>
  <c r="S85" i="59"/>
  <c r="AM85" i="59"/>
  <c r="AL85" i="59"/>
  <c r="S109" i="59"/>
  <c r="AM109" i="59"/>
  <c r="AL109" i="59"/>
  <c r="S149" i="59"/>
  <c r="AM149" i="59"/>
  <c r="AL149" i="59"/>
  <c r="S173" i="59"/>
  <c r="AM173" i="59"/>
  <c r="AL173" i="59"/>
  <c r="S261" i="59"/>
  <c r="AM261" i="59"/>
  <c r="AL261" i="59"/>
  <c r="S325" i="59"/>
  <c r="AM325" i="59"/>
  <c r="AL325" i="59"/>
  <c r="S389" i="59"/>
  <c r="AM389" i="59"/>
  <c r="AL389" i="59"/>
  <c r="S453" i="59"/>
  <c r="AM453" i="59"/>
  <c r="AL453" i="59"/>
  <c r="S198" i="59"/>
  <c r="AL198" i="59"/>
  <c r="AM198" i="59"/>
  <c r="S358" i="59"/>
  <c r="AL358" i="59"/>
  <c r="AM358" i="59"/>
  <c r="S74" i="59"/>
  <c r="AM74" i="59"/>
  <c r="AL74" i="59"/>
  <c r="S90" i="59"/>
  <c r="AM90" i="59"/>
  <c r="AL90" i="59"/>
  <c r="S210" i="59"/>
  <c r="AM210" i="59"/>
  <c r="AL210" i="59"/>
  <c r="S491" i="59"/>
  <c r="AM491" i="59"/>
  <c r="AL491" i="59"/>
  <c r="S220" i="59"/>
  <c r="AM220" i="59"/>
  <c r="AL220" i="59"/>
  <c r="S420" i="59"/>
  <c r="AM420" i="59"/>
  <c r="AL420" i="59"/>
  <c r="AM335" i="59"/>
  <c r="S335" i="59"/>
  <c r="AL335" i="59"/>
  <c r="S228" i="59"/>
  <c r="AM228" i="59"/>
  <c r="AL228" i="59"/>
  <c r="S448" i="59"/>
  <c r="AM448" i="59"/>
  <c r="AL448" i="59"/>
  <c r="AM481" i="59"/>
  <c r="S481" i="59"/>
  <c r="AL481" i="59"/>
  <c r="S395" i="59"/>
  <c r="AM395" i="59"/>
  <c r="AL395" i="59"/>
  <c r="S259" i="59"/>
  <c r="AM259" i="59"/>
  <c r="AL259" i="59"/>
  <c r="S381" i="59"/>
  <c r="AM381" i="59"/>
  <c r="AL381" i="59"/>
  <c r="S151" i="59"/>
  <c r="AM151" i="59"/>
  <c r="AL151" i="59"/>
  <c r="S8" i="59"/>
  <c r="AL8" i="59"/>
  <c r="AM8" i="59"/>
  <c r="S11" i="59"/>
  <c r="AM11" i="59"/>
  <c r="AL11" i="59"/>
  <c r="AM47" i="59"/>
  <c r="S47" i="59"/>
  <c r="AL47" i="59"/>
  <c r="S111" i="59"/>
  <c r="AM111" i="59"/>
  <c r="AL111" i="59"/>
  <c r="AM239" i="59"/>
  <c r="S239" i="59"/>
  <c r="AL239" i="59"/>
  <c r="AM303" i="59"/>
  <c r="S303" i="59"/>
  <c r="AL303" i="59"/>
  <c r="AM367" i="59"/>
  <c r="S367" i="59"/>
  <c r="AL367" i="59"/>
  <c r="AM431" i="59"/>
  <c r="S431" i="59"/>
  <c r="AL431" i="59"/>
  <c r="AM495" i="59"/>
  <c r="S495" i="59"/>
  <c r="AL495" i="59"/>
  <c r="S30" i="59"/>
  <c r="AM30" i="59"/>
  <c r="AL30" i="59"/>
  <c r="S356" i="59"/>
  <c r="AM356" i="59"/>
  <c r="AL356" i="59"/>
  <c r="S64" i="59"/>
  <c r="AM64" i="59"/>
  <c r="AL64" i="59"/>
  <c r="S88" i="59"/>
  <c r="AM88" i="59"/>
  <c r="AL88" i="59"/>
  <c r="S168" i="59"/>
  <c r="AM168" i="59"/>
  <c r="AL168" i="59"/>
  <c r="S232" i="59"/>
  <c r="AM232" i="59"/>
  <c r="AL232" i="59"/>
  <c r="S256" i="59"/>
  <c r="AM256" i="59"/>
  <c r="AL256" i="59"/>
  <c r="S360" i="59"/>
  <c r="AM360" i="59"/>
  <c r="AL360" i="59"/>
  <c r="S384" i="59"/>
  <c r="AM384" i="59"/>
  <c r="AL384" i="59"/>
  <c r="S488" i="59"/>
  <c r="AM488" i="59"/>
  <c r="AL488" i="59"/>
  <c r="S310" i="59"/>
  <c r="AL310" i="59"/>
  <c r="AM310" i="59"/>
  <c r="S42" i="59"/>
  <c r="AM42" i="59"/>
  <c r="AL42" i="59"/>
  <c r="S362" i="59"/>
  <c r="AM362" i="59"/>
  <c r="AL362" i="59"/>
  <c r="S209" i="59"/>
  <c r="AM209" i="59"/>
  <c r="AL209" i="59"/>
  <c r="S257" i="59"/>
  <c r="AM257" i="59"/>
  <c r="AL257" i="59"/>
  <c r="S321" i="59"/>
  <c r="AM321" i="59"/>
  <c r="AL321" i="59"/>
  <c r="S385" i="59"/>
  <c r="AM385" i="59"/>
  <c r="AL385" i="59"/>
  <c r="AM449" i="59"/>
  <c r="S449" i="59"/>
  <c r="AL449" i="59"/>
  <c r="S486" i="59"/>
  <c r="AM486" i="59"/>
  <c r="AL486" i="59"/>
  <c r="S46" i="59"/>
  <c r="AM46" i="59"/>
  <c r="AL46" i="59"/>
  <c r="S412" i="59"/>
  <c r="AM412" i="59"/>
  <c r="AL412" i="59"/>
  <c r="S114" i="59"/>
  <c r="AL114" i="59"/>
  <c r="AM114" i="59"/>
  <c r="S36" i="59"/>
  <c r="AM36" i="59"/>
  <c r="AL36" i="59"/>
  <c r="S84" i="59"/>
  <c r="AM84" i="59"/>
  <c r="AL84" i="59"/>
  <c r="S148" i="59"/>
  <c r="AM148" i="59"/>
  <c r="AL148" i="59"/>
  <c r="S238" i="59"/>
  <c r="AL238" i="59"/>
  <c r="AM238" i="59"/>
  <c r="S494" i="59"/>
  <c r="AM494" i="59"/>
  <c r="AL494" i="59"/>
  <c r="S75" i="59"/>
  <c r="AM75" i="59"/>
  <c r="AL75" i="59"/>
  <c r="S139" i="59"/>
  <c r="AM139" i="59"/>
  <c r="AL139" i="59"/>
  <c r="S227" i="59"/>
  <c r="AM227" i="59"/>
  <c r="AL227" i="59"/>
  <c r="S291" i="59"/>
  <c r="AM291" i="59"/>
  <c r="AL291" i="59"/>
  <c r="AM355" i="59"/>
  <c r="S355" i="59"/>
  <c r="AL355" i="59"/>
  <c r="S396" i="59"/>
  <c r="AM396" i="59"/>
  <c r="AL396" i="59"/>
  <c r="S140" i="59"/>
  <c r="AM140" i="59"/>
  <c r="AL140" i="59"/>
  <c r="S222" i="59"/>
  <c r="AL222" i="59"/>
  <c r="AM222" i="59"/>
  <c r="S326" i="59"/>
  <c r="AL326" i="59"/>
  <c r="AM326" i="59"/>
  <c r="S197" i="59"/>
  <c r="AM197" i="59"/>
  <c r="AL197" i="59"/>
  <c r="S221" i="59"/>
  <c r="AM221" i="59"/>
  <c r="AL221" i="59"/>
  <c r="S285" i="59"/>
  <c r="AM285" i="59"/>
  <c r="AL285" i="59"/>
  <c r="S349" i="59"/>
  <c r="AM349" i="59"/>
  <c r="AL349" i="59"/>
  <c r="S413" i="59"/>
  <c r="AM413" i="59"/>
  <c r="AL413" i="59"/>
  <c r="S477" i="59"/>
  <c r="AM477" i="59"/>
  <c r="AL477" i="59"/>
  <c r="S478" i="59"/>
  <c r="AM478" i="59"/>
  <c r="AL478" i="59"/>
  <c r="S386" i="59"/>
  <c r="AM386" i="59"/>
  <c r="AL386" i="59"/>
  <c r="S226" i="59"/>
  <c r="AM226" i="59"/>
  <c r="AL226" i="59"/>
  <c r="S242" i="59"/>
  <c r="AM242" i="59"/>
  <c r="AL242" i="59"/>
  <c r="S7" i="59"/>
  <c r="AL7" i="59"/>
  <c r="AM7" i="59"/>
  <c r="S500" i="59"/>
  <c r="AM500" i="59"/>
  <c r="AL500" i="59"/>
  <c r="AM399" i="59"/>
  <c r="S399" i="59"/>
  <c r="AL399" i="59"/>
  <c r="S200" i="59"/>
  <c r="AM200" i="59"/>
  <c r="AL200" i="59"/>
  <c r="S289" i="59"/>
  <c r="AM289" i="59"/>
  <c r="AL289" i="59"/>
  <c r="S50" i="59"/>
  <c r="AM50" i="59"/>
  <c r="AL50" i="59"/>
  <c r="S43" i="59"/>
  <c r="AM43" i="59"/>
  <c r="AL43" i="59"/>
  <c r="S195" i="59"/>
  <c r="AM195" i="59"/>
  <c r="AL195" i="59"/>
  <c r="S317" i="59"/>
  <c r="AM317" i="59"/>
  <c r="AL317" i="59"/>
  <c r="S23" i="59"/>
  <c r="AM23" i="59"/>
  <c r="AL23" i="59"/>
  <c r="AM71" i="59"/>
  <c r="S71" i="59"/>
  <c r="AL71" i="59"/>
  <c r="AM135" i="59"/>
  <c r="S135" i="59"/>
  <c r="AL135" i="59"/>
  <c r="S175" i="59"/>
  <c r="AM175" i="59"/>
  <c r="AL175" i="59"/>
  <c r="AM199" i="59"/>
  <c r="S199" i="59"/>
  <c r="AL199" i="59"/>
  <c r="AM263" i="59"/>
  <c r="AL263" i="59"/>
  <c r="S263" i="59"/>
  <c r="AM327" i="59"/>
  <c r="S327" i="59"/>
  <c r="AL327" i="59"/>
  <c r="AM391" i="59"/>
  <c r="S391" i="59"/>
  <c r="AL391" i="59"/>
  <c r="S455" i="59"/>
  <c r="AM455" i="59"/>
  <c r="AL455" i="59"/>
  <c r="S94" i="59"/>
  <c r="AM94" i="59"/>
  <c r="AL94" i="59"/>
  <c r="S428" i="59"/>
  <c r="AM428" i="59"/>
  <c r="AL428" i="59"/>
  <c r="S40" i="59"/>
  <c r="AL40" i="59"/>
  <c r="AM40" i="59"/>
  <c r="S144" i="59"/>
  <c r="AM144" i="59"/>
  <c r="AL144" i="59"/>
  <c r="S192" i="59"/>
  <c r="AM192" i="59"/>
  <c r="AL192" i="59"/>
  <c r="S312" i="59"/>
  <c r="AM312" i="59"/>
  <c r="AL312" i="59"/>
  <c r="S336" i="59"/>
  <c r="AM336" i="59"/>
  <c r="AL336" i="59"/>
  <c r="S440" i="59"/>
  <c r="AM440" i="59"/>
  <c r="AL440" i="59"/>
  <c r="S464" i="59"/>
  <c r="AM464" i="59"/>
  <c r="AL464" i="59"/>
  <c r="S470" i="59"/>
  <c r="AL470" i="59"/>
  <c r="AM470" i="59"/>
  <c r="S106" i="59"/>
  <c r="AM106" i="59"/>
  <c r="AL106" i="59"/>
  <c r="S388" i="59"/>
  <c r="AM388" i="59"/>
  <c r="AL388" i="59"/>
  <c r="S33" i="59"/>
  <c r="AM33" i="59"/>
  <c r="AL33" i="59"/>
  <c r="S57" i="59"/>
  <c r="AM57" i="59"/>
  <c r="AL57" i="59"/>
  <c r="S97" i="59"/>
  <c r="AM97" i="59"/>
  <c r="AL97" i="59"/>
  <c r="S121" i="59"/>
  <c r="AM121" i="59"/>
  <c r="AL121" i="59"/>
  <c r="S161" i="59"/>
  <c r="AM161" i="59"/>
  <c r="AL161" i="59"/>
  <c r="S281" i="59"/>
  <c r="AM281" i="59"/>
  <c r="AL281" i="59"/>
  <c r="S345" i="59"/>
  <c r="AM345" i="59"/>
  <c r="AL345" i="59"/>
  <c r="S409" i="59"/>
  <c r="AM409" i="59"/>
  <c r="AL409" i="59"/>
  <c r="S473" i="59"/>
  <c r="AM473" i="59"/>
  <c r="AL473" i="59"/>
  <c r="S262" i="59"/>
  <c r="AL262" i="59"/>
  <c r="AM262" i="59"/>
  <c r="S204" i="59"/>
  <c r="AM204" i="59"/>
  <c r="AL204" i="59"/>
  <c r="AM435" i="59"/>
  <c r="AL435" i="59"/>
  <c r="S435" i="59"/>
  <c r="S66" i="59"/>
  <c r="AM66" i="59"/>
  <c r="AL66" i="59"/>
  <c r="S180" i="59"/>
  <c r="AM180" i="59"/>
  <c r="AL180" i="59"/>
  <c r="S318" i="59"/>
  <c r="AL318" i="59"/>
  <c r="AM318" i="59"/>
  <c r="S35" i="59"/>
  <c r="AM35" i="59"/>
  <c r="AL35" i="59"/>
  <c r="S99" i="59"/>
  <c r="AM99" i="59"/>
  <c r="AL99" i="59"/>
  <c r="S163" i="59"/>
  <c r="AM163" i="59"/>
  <c r="AL163" i="59"/>
  <c r="S187" i="59"/>
  <c r="AM187" i="59"/>
  <c r="AL187" i="59"/>
  <c r="S251" i="59"/>
  <c r="AM251" i="59"/>
  <c r="AL251" i="59"/>
  <c r="AM315" i="59"/>
  <c r="S315" i="59"/>
  <c r="AL315" i="59"/>
  <c r="AM379" i="59"/>
  <c r="S379" i="59"/>
  <c r="AL379" i="59"/>
  <c r="S460" i="59"/>
  <c r="AM460" i="59"/>
  <c r="AL460" i="59"/>
  <c r="S68" i="59"/>
  <c r="AM68" i="59"/>
  <c r="AL68" i="59"/>
  <c r="S54" i="59"/>
  <c r="AL54" i="59"/>
  <c r="AM54" i="59"/>
  <c r="S150" i="59"/>
  <c r="AM150" i="59"/>
  <c r="AL150" i="59"/>
  <c r="S414" i="59"/>
  <c r="AM414" i="59"/>
  <c r="AL414" i="59"/>
  <c r="S29" i="59"/>
  <c r="AL29" i="59"/>
  <c r="AM29" i="59"/>
  <c r="S69" i="59"/>
  <c r="AM69" i="59"/>
  <c r="AL69" i="59"/>
  <c r="S93" i="59"/>
  <c r="AL93" i="59"/>
  <c r="AM93" i="59"/>
  <c r="S133" i="59"/>
  <c r="AM133" i="59"/>
  <c r="AL133" i="59"/>
  <c r="S157" i="59"/>
  <c r="AM157" i="59"/>
  <c r="AL157" i="59"/>
  <c r="S245" i="59"/>
  <c r="AM245" i="59"/>
  <c r="AL245" i="59"/>
  <c r="S309" i="59"/>
  <c r="AM309" i="59"/>
  <c r="AL309" i="59"/>
  <c r="S373" i="59"/>
  <c r="AM373" i="59"/>
  <c r="AL373" i="59"/>
  <c r="S437" i="59"/>
  <c r="AM437" i="59"/>
  <c r="AL437" i="59"/>
  <c r="S501" i="59"/>
  <c r="AM501" i="59"/>
  <c r="AL501" i="59"/>
  <c r="S134" i="59"/>
  <c r="AM134" i="59"/>
  <c r="AL134" i="59"/>
  <c r="S246" i="59"/>
  <c r="AL246" i="59"/>
  <c r="AM246" i="59"/>
  <c r="S442" i="59"/>
  <c r="AM442" i="59"/>
  <c r="AL442" i="59"/>
  <c r="S387" i="59"/>
  <c r="AM387" i="59"/>
  <c r="AL387" i="59"/>
  <c r="S274" i="59"/>
  <c r="AM274" i="59"/>
  <c r="AL274" i="59"/>
  <c r="S14" i="59"/>
  <c r="AL14" i="59"/>
  <c r="AM14" i="59"/>
  <c r="S436" i="59"/>
  <c r="AM436" i="59"/>
  <c r="AL436" i="59"/>
  <c r="S348" i="59"/>
  <c r="AM348" i="59"/>
  <c r="AL348" i="59"/>
  <c r="S143" i="59"/>
  <c r="AM143" i="59"/>
  <c r="AL143" i="59"/>
  <c r="S24" i="59"/>
  <c r="AL24" i="59"/>
  <c r="AM24" i="59"/>
  <c r="S424" i="59"/>
  <c r="AM424" i="59"/>
  <c r="AL424" i="59"/>
  <c r="AM417" i="59"/>
  <c r="S417" i="59"/>
  <c r="AL417" i="59"/>
  <c r="S372" i="59"/>
  <c r="AM372" i="59"/>
  <c r="AL372" i="59"/>
  <c r="S171" i="59"/>
  <c r="AM171" i="59"/>
  <c r="AL171" i="59"/>
  <c r="S165" i="59"/>
  <c r="AM165" i="59"/>
  <c r="AL165" i="59"/>
  <c r="S16" i="59"/>
  <c r="AM16" i="59"/>
  <c r="AL16" i="59"/>
  <c r="AM31" i="59"/>
  <c r="S31" i="59"/>
  <c r="AL31" i="59"/>
  <c r="AM95" i="59"/>
  <c r="S95" i="59"/>
  <c r="AL95" i="59"/>
  <c r="AM159" i="59"/>
  <c r="S159" i="59"/>
  <c r="AL159" i="59"/>
  <c r="AM223" i="59"/>
  <c r="S223" i="59"/>
  <c r="AL223" i="59"/>
  <c r="AM287" i="59"/>
  <c r="S287" i="59"/>
  <c r="AL287" i="59"/>
  <c r="AM351" i="59"/>
  <c r="S351" i="59"/>
  <c r="AL351" i="59"/>
  <c r="AM415" i="59"/>
  <c r="S415" i="59"/>
  <c r="AL415" i="59"/>
  <c r="AM479" i="59"/>
  <c r="S479" i="59"/>
  <c r="AL479" i="59"/>
  <c r="S158" i="59"/>
  <c r="AL158" i="59"/>
  <c r="AM158" i="59"/>
  <c r="S492" i="59"/>
  <c r="AM492" i="59"/>
  <c r="AL492" i="59"/>
  <c r="S96" i="59"/>
  <c r="AM96" i="59"/>
  <c r="AL96" i="59"/>
  <c r="S120" i="59"/>
  <c r="AM120" i="59"/>
  <c r="AL120" i="59"/>
  <c r="S216" i="59"/>
  <c r="AM216" i="59"/>
  <c r="AL216" i="59"/>
  <c r="S264" i="59"/>
  <c r="AM264" i="59"/>
  <c r="AL264" i="59"/>
  <c r="S288" i="59"/>
  <c r="AM288" i="59"/>
  <c r="AL288" i="59"/>
  <c r="S392" i="59"/>
  <c r="AM392" i="59"/>
  <c r="AL392" i="59"/>
  <c r="S416" i="59"/>
  <c r="AM416" i="59"/>
  <c r="AL416" i="59"/>
  <c r="S166" i="59"/>
  <c r="AM166" i="59"/>
  <c r="AL166" i="59"/>
  <c r="S411" i="59"/>
  <c r="AM411" i="59"/>
  <c r="AL411" i="59"/>
  <c r="S193" i="59"/>
  <c r="AM193" i="59"/>
  <c r="AL193" i="59"/>
  <c r="S217" i="59"/>
  <c r="AM217" i="59"/>
  <c r="AL217" i="59"/>
  <c r="S241" i="59"/>
  <c r="AM241" i="59"/>
  <c r="AL241" i="59"/>
  <c r="S305" i="59"/>
  <c r="AM305" i="59"/>
  <c r="AL305" i="59"/>
  <c r="S369" i="59"/>
  <c r="AM369" i="59"/>
  <c r="AL369" i="59"/>
  <c r="AM433" i="59"/>
  <c r="S433" i="59"/>
  <c r="AL433" i="59"/>
  <c r="AM497" i="59"/>
  <c r="S497" i="59"/>
  <c r="AL497" i="59"/>
  <c r="S390" i="59"/>
  <c r="AL390" i="59"/>
  <c r="AM390" i="59"/>
  <c r="S236" i="59"/>
  <c r="AM236" i="59"/>
  <c r="AL236" i="59"/>
  <c r="S458" i="59"/>
  <c r="AM458" i="59"/>
  <c r="AL458" i="59"/>
  <c r="S146" i="59"/>
  <c r="AL146" i="59"/>
  <c r="AM146" i="59"/>
  <c r="S170" i="59"/>
  <c r="AM170" i="59"/>
  <c r="AL170" i="59"/>
  <c r="S244" i="59"/>
  <c r="AM244" i="59"/>
  <c r="AL244" i="59"/>
  <c r="S100" i="59"/>
  <c r="AM100" i="59"/>
  <c r="AL100" i="59"/>
  <c r="S406" i="59"/>
  <c r="AL406" i="59"/>
  <c r="AM406" i="59"/>
  <c r="S59" i="59"/>
  <c r="AM59" i="59"/>
  <c r="AL59" i="59"/>
  <c r="S123" i="59"/>
  <c r="AM123" i="59"/>
  <c r="AL123" i="59"/>
  <c r="S211" i="59"/>
  <c r="AM211" i="59"/>
  <c r="AL211" i="59"/>
  <c r="S275" i="59"/>
  <c r="AM275" i="59"/>
  <c r="AL275" i="59"/>
  <c r="AM339" i="59"/>
  <c r="S339" i="59"/>
  <c r="AL339" i="59"/>
  <c r="S20" i="59"/>
  <c r="AM20" i="59"/>
  <c r="AL20" i="59"/>
  <c r="S108" i="59"/>
  <c r="AM108" i="59"/>
  <c r="AL108" i="59"/>
  <c r="S181" i="59"/>
  <c r="AM181" i="59"/>
  <c r="AL181" i="59"/>
  <c r="S269" i="59"/>
  <c r="AM269" i="59"/>
  <c r="AL269" i="59"/>
  <c r="S333" i="59"/>
  <c r="AM333" i="59"/>
  <c r="AL333" i="59"/>
  <c r="S397" i="59"/>
  <c r="AM397" i="59"/>
  <c r="AL397" i="59"/>
  <c r="S461" i="59"/>
  <c r="AM461" i="59"/>
  <c r="AL461" i="59"/>
  <c r="S398" i="59"/>
  <c r="AL398" i="59"/>
  <c r="AM398" i="59"/>
  <c r="AM483" i="59"/>
  <c r="AL483" i="59"/>
  <c r="S483" i="59"/>
  <c r="S443" i="59"/>
  <c r="AM443" i="59"/>
  <c r="AL443" i="59"/>
  <c r="S306" i="59"/>
  <c r="AM306" i="59"/>
  <c r="AL306" i="59"/>
  <c r="S62" i="59"/>
  <c r="AM62" i="59"/>
  <c r="AL62" i="59"/>
  <c r="S380" i="59"/>
  <c r="AM380" i="59"/>
  <c r="AL380" i="59"/>
  <c r="S444" i="59"/>
  <c r="AM444" i="59"/>
  <c r="AL444" i="59"/>
  <c r="S207" i="59"/>
  <c r="AM207" i="59"/>
  <c r="AL207" i="59"/>
  <c r="S128" i="59"/>
  <c r="AM128" i="59"/>
  <c r="AL128" i="59"/>
  <c r="S452" i="59"/>
  <c r="AM452" i="59"/>
  <c r="AL452" i="59"/>
  <c r="S302" i="59"/>
  <c r="AL302" i="59"/>
  <c r="AM302" i="59"/>
  <c r="S342" i="59"/>
  <c r="AL342" i="59"/>
  <c r="AM342" i="59"/>
  <c r="S323" i="59"/>
  <c r="AM323" i="59"/>
  <c r="AL323" i="59"/>
  <c r="S253" i="59"/>
  <c r="AM253" i="59"/>
  <c r="AL253" i="59"/>
  <c r="S18" i="59"/>
  <c r="AM18" i="59"/>
  <c r="AL18" i="59"/>
  <c r="S19" i="59"/>
  <c r="AM19" i="59"/>
  <c r="AL19" i="59"/>
  <c r="AM55" i="59"/>
  <c r="S55" i="59"/>
  <c r="AL55" i="59"/>
  <c r="AM119" i="59"/>
  <c r="S119" i="59"/>
  <c r="AL119" i="59"/>
  <c r="AM183" i="59"/>
  <c r="S183" i="59"/>
  <c r="AL183" i="59"/>
  <c r="AM247" i="59"/>
  <c r="S247" i="59"/>
  <c r="AL247" i="59"/>
  <c r="AM311" i="59"/>
  <c r="S311" i="59"/>
  <c r="AL311" i="59"/>
  <c r="AM375" i="59"/>
  <c r="S375" i="59"/>
  <c r="AL375" i="59"/>
  <c r="S439" i="59"/>
  <c r="AM439" i="59"/>
  <c r="AL439" i="59"/>
  <c r="S503" i="59"/>
  <c r="AM503" i="59"/>
  <c r="AL503" i="59"/>
  <c r="S196" i="59"/>
  <c r="AM196" i="59"/>
  <c r="AL196" i="59"/>
  <c r="S48" i="59"/>
  <c r="AL48" i="59"/>
  <c r="AM48" i="59"/>
  <c r="S72" i="59"/>
  <c r="AM72" i="59"/>
  <c r="AL72" i="59"/>
  <c r="S176" i="59"/>
  <c r="AM176" i="59"/>
  <c r="AL176" i="59"/>
  <c r="S240" i="59"/>
  <c r="AM240" i="59"/>
  <c r="AL240" i="59"/>
  <c r="S344" i="59"/>
  <c r="AM344" i="59"/>
  <c r="AL344" i="59"/>
  <c r="S368" i="59"/>
  <c r="AM368" i="59"/>
  <c r="AL368" i="59"/>
  <c r="S472" i="59"/>
  <c r="AM472" i="59"/>
  <c r="AL472" i="59"/>
  <c r="S496" i="59"/>
  <c r="AM496" i="59"/>
  <c r="AL496" i="59"/>
  <c r="S190" i="59"/>
  <c r="AL190" i="59"/>
  <c r="AM190" i="59"/>
  <c r="S366" i="59"/>
  <c r="AL366" i="59"/>
  <c r="AM366" i="59"/>
  <c r="S202" i="59"/>
  <c r="AM202" i="59"/>
  <c r="AL202" i="59"/>
  <c r="AM434" i="59"/>
  <c r="S434" i="59"/>
  <c r="AL434" i="59"/>
  <c r="S17" i="59"/>
  <c r="AM17" i="59"/>
  <c r="AL17" i="59"/>
  <c r="S41" i="59"/>
  <c r="AM41" i="59"/>
  <c r="AL41" i="59"/>
  <c r="S81" i="59"/>
  <c r="AM81" i="59"/>
  <c r="AL81" i="59"/>
  <c r="S105" i="59"/>
  <c r="AM105" i="59"/>
  <c r="AL105" i="59"/>
  <c r="S145" i="59"/>
  <c r="AM145" i="59"/>
  <c r="AL145" i="59"/>
  <c r="S265" i="59"/>
  <c r="AM265" i="59"/>
  <c r="AL265" i="59"/>
  <c r="AM329" i="59"/>
  <c r="S329" i="59"/>
  <c r="AL329" i="59"/>
  <c r="AM393" i="59"/>
  <c r="S393" i="59"/>
  <c r="AL393" i="59"/>
  <c r="S457" i="59"/>
  <c r="AM457" i="59"/>
  <c r="AL457" i="59"/>
  <c r="S268" i="59"/>
  <c r="AM268" i="59"/>
  <c r="AL268" i="59"/>
  <c r="S476" i="59"/>
  <c r="AM476" i="59"/>
  <c r="AL476" i="59"/>
  <c r="S98" i="59"/>
  <c r="AM98" i="59"/>
  <c r="AL98" i="59"/>
  <c r="S308" i="59"/>
  <c r="AM308" i="59"/>
  <c r="AL308" i="59"/>
  <c r="S44" i="59"/>
  <c r="AM44" i="59"/>
  <c r="AL44" i="59"/>
  <c r="S164" i="59"/>
  <c r="AM164" i="59"/>
  <c r="AL164" i="59"/>
  <c r="S70" i="59"/>
  <c r="AM70" i="59"/>
  <c r="AL70" i="59"/>
  <c r="S174" i="59"/>
  <c r="AM174" i="59"/>
  <c r="AL174" i="59"/>
  <c r="S270" i="59"/>
  <c r="AL270" i="59"/>
  <c r="AM270" i="59"/>
  <c r="S83" i="59"/>
  <c r="AM83" i="59"/>
  <c r="AL83" i="59"/>
  <c r="S147" i="59"/>
  <c r="AM147" i="59"/>
  <c r="AL147" i="59"/>
  <c r="S235" i="59"/>
  <c r="AM235" i="59"/>
  <c r="AL235" i="59"/>
  <c r="S299" i="59"/>
  <c r="AM299" i="59"/>
  <c r="AL299" i="59"/>
  <c r="S363" i="59"/>
  <c r="AM363" i="59"/>
  <c r="AL363" i="59"/>
  <c r="S156" i="59"/>
  <c r="AM156" i="59"/>
  <c r="AL156" i="59"/>
  <c r="S230" i="59"/>
  <c r="AL230" i="59"/>
  <c r="AM230" i="59"/>
  <c r="S350" i="59"/>
  <c r="AL350" i="59"/>
  <c r="AM350" i="59"/>
  <c r="S13" i="59"/>
  <c r="AL13" i="59"/>
  <c r="AM13" i="59"/>
  <c r="S53" i="59"/>
  <c r="AL53" i="59"/>
  <c r="AM53" i="59"/>
  <c r="S77" i="59"/>
  <c r="AM77" i="59"/>
  <c r="AL77" i="59"/>
  <c r="S117" i="59"/>
  <c r="AM117" i="59"/>
  <c r="AL117" i="59"/>
  <c r="S141" i="59"/>
  <c r="AM141" i="59"/>
  <c r="AL141" i="59"/>
  <c r="S205" i="59"/>
  <c r="AM205" i="59"/>
  <c r="AL205" i="59"/>
  <c r="S229" i="59"/>
  <c r="AM229" i="59"/>
  <c r="AL229" i="59"/>
  <c r="S293" i="59"/>
  <c r="AM293" i="59"/>
  <c r="AL293" i="59"/>
  <c r="S357" i="59"/>
  <c r="AM357" i="59"/>
  <c r="AL357" i="59"/>
  <c r="S421" i="59"/>
  <c r="AM421" i="59"/>
  <c r="AL421" i="59"/>
  <c r="S485" i="59"/>
  <c r="AM485" i="59"/>
  <c r="AL485" i="59"/>
  <c r="S38" i="59"/>
  <c r="AM38" i="59"/>
  <c r="AL38" i="59"/>
  <c r="S169" i="59"/>
  <c r="AM169" i="59"/>
  <c r="AL169" i="59"/>
  <c r="S490" i="59"/>
  <c r="AM490" i="59"/>
  <c r="AL490" i="59"/>
  <c r="S338" i="59"/>
  <c r="AM338" i="59"/>
  <c r="AL338" i="59"/>
  <c r="S110" i="59"/>
  <c r="AM110" i="59"/>
  <c r="AL110" i="59"/>
  <c r="S316" i="59"/>
  <c r="AM316" i="59"/>
  <c r="AL316" i="59"/>
  <c r="AD31" i="59"/>
  <c r="W31" i="59"/>
  <c r="T183" i="59"/>
  <c r="Q327" i="59"/>
  <c r="AC327" i="59"/>
  <c r="T503" i="59"/>
  <c r="AC120" i="59"/>
  <c r="AD264" i="59"/>
  <c r="W264" i="59"/>
  <c r="AC416" i="59"/>
  <c r="T434" i="59"/>
  <c r="T145" i="59"/>
  <c r="T329" i="59"/>
  <c r="AC473" i="59"/>
  <c r="AD390" i="59"/>
  <c r="W390" i="59"/>
  <c r="AD122" i="59"/>
  <c r="W122" i="59"/>
  <c r="AD338" i="59"/>
  <c r="W338" i="59"/>
  <c r="AD498" i="59"/>
  <c r="W498" i="59"/>
  <c r="T70" i="59"/>
  <c r="AC35" i="59"/>
  <c r="T235" i="59"/>
  <c r="Q411" i="59"/>
  <c r="AC411" i="59"/>
  <c r="AC108" i="59"/>
  <c r="AC150" i="59"/>
  <c r="AC29" i="59"/>
  <c r="T141" i="59"/>
  <c r="T229" i="59"/>
  <c r="AC269" i="59"/>
  <c r="AC333" i="59"/>
  <c r="AD381" i="59"/>
  <c r="W381" i="59"/>
  <c r="T421" i="59"/>
  <c r="AD445" i="59"/>
  <c r="W445" i="59"/>
  <c r="T485" i="59"/>
  <c r="Q134" i="59"/>
  <c r="AC134" i="59"/>
  <c r="AD398" i="59"/>
  <c r="W398" i="59"/>
  <c r="T126" i="59"/>
  <c r="AD336" i="59"/>
  <c r="W336" i="59"/>
  <c r="T188" i="59"/>
  <c r="AC492" i="59"/>
  <c r="Q31" i="59"/>
  <c r="AC31" i="59"/>
  <c r="T207" i="59"/>
  <c r="T335" i="59"/>
  <c r="T463" i="59"/>
  <c r="AC48" i="59"/>
  <c r="T200" i="59"/>
  <c r="AD344" i="59"/>
  <c r="W344" i="59"/>
  <c r="AC496" i="59"/>
  <c r="AC17" i="59"/>
  <c r="AC145" i="59"/>
  <c r="AD265" i="59"/>
  <c r="W265" i="59"/>
  <c r="T417" i="59"/>
  <c r="AD158" i="59"/>
  <c r="W158" i="59"/>
  <c r="T300" i="59"/>
  <c r="AC146" i="59"/>
  <c r="AC338" i="59"/>
  <c r="AC498" i="59"/>
  <c r="AC44" i="59"/>
  <c r="Q164" i="59"/>
  <c r="AC164" i="59"/>
  <c r="Q324" i="59"/>
  <c r="AC324" i="59"/>
  <c r="Q406" i="59"/>
  <c r="AC406" i="59"/>
  <c r="T43" i="59"/>
  <c r="AD83" i="59"/>
  <c r="W83" i="59"/>
  <c r="Q123" i="59"/>
  <c r="AC123" i="59"/>
  <c r="T171" i="59"/>
  <c r="Q211" i="59"/>
  <c r="AC211" i="59"/>
  <c r="T259" i="59"/>
  <c r="AD299" i="59"/>
  <c r="W299" i="59"/>
  <c r="Q339" i="59"/>
  <c r="AC339" i="59"/>
  <c r="AD387" i="59"/>
  <c r="W387" i="59"/>
  <c r="AD451" i="59"/>
  <c r="W451" i="59"/>
  <c r="AD460" i="59"/>
  <c r="W460" i="59"/>
  <c r="AD28" i="59"/>
  <c r="W28" i="59"/>
  <c r="AD124" i="59"/>
  <c r="W124" i="59"/>
  <c r="AD340" i="59"/>
  <c r="W340" i="59"/>
  <c r="AD78" i="59"/>
  <c r="W78" i="59"/>
  <c r="AC230" i="59"/>
  <c r="AD350" i="59"/>
  <c r="W350" i="59"/>
  <c r="AD13" i="59"/>
  <c r="W13" i="59"/>
  <c r="AC53" i="59"/>
  <c r="AD101" i="59"/>
  <c r="W101" i="59"/>
  <c r="T165" i="59"/>
  <c r="Q205" i="59"/>
  <c r="AC205" i="59"/>
  <c r="T253" i="59"/>
  <c r="AC293" i="59"/>
  <c r="AD341" i="59"/>
  <c r="W341" i="59"/>
  <c r="AC357" i="59"/>
  <c r="AD405" i="59"/>
  <c r="W405" i="59"/>
  <c r="T445" i="59"/>
  <c r="AD469" i="59"/>
  <c r="W469" i="59"/>
  <c r="AC485" i="59"/>
  <c r="AD38" i="59"/>
  <c r="W38" i="59"/>
  <c r="AD166" i="59"/>
  <c r="W166" i="59"/>
  <c r="T294" i="59"/>
  <c r="AC194" i="59"/>
  <c r="T242" i="59"/>
  <c r="T380" i="59"/>
  <c r="AD144" i="59"/>
  <c r="W144" i="59"/>
  <c r="AD480" i="59"/>
  <c r="W480" i="59"/>
  <c r="T316" i="59"/>
  <c r="AC444" i="59"/>
  <c r="T19" i="59"/>
  <c r="Q135" i="59"/>
  <c r="AC135" i="59"/>
  <c r="AD287" i="59"/>
  <c r="W287" i="59"/>
  <c r="AD415" i="59"/>
  <c r="W415" i="59"/>
  <c r="AD364" i="59"/>
  <c r="W364" i="59"/>
  <c r="AD152" i="59"/>
  <c r="W152" i="59"/>
  <c r="AC312" i="59"/>
  <c r="T496" i="59"/>
  <c r="T17" i="59"/>
  <c r="AD169" i="59"/>
  <c r="W169" i="59"/>
  <c r="AD305" i="59"/>
  <c r="W305" i="59"/>
  <c r="AD433" i="59"/>
  <c r="W433" i="59"/>
  <c r="AC262" i="59"/>
  <c r="AC66" i="59"/>
  <c r="AD306" i="59"/>
  <c r="W306" i="59"/>
  <c r="T308" i="59"/>
  <c r="AD324" i="59"/>
  <c r="W324" i="59"/>
  <c r="AD20" i="59"/>
  <c r="W20" i="59"/>
  <c r="AD171" i="59"/>
  <c r="W171" i="59"/>
  <c r="AD275" i="59"/>
  <c r="W275" i="59"/>
  <c r="Q443" i="59"/>
  <c r="AC443" i="59"/>
  <c r="AC308" i="59"/>
  <c r="T13" i="59"/>
  <c r="AD380" i="59"/>
  <c r="W380" i="59"/>
  <c r="AD32" i="59"/>
  <c r="W32" i="59"/>
  <c r="AD316" i="59"/>
  <c r="W316" i="59"/>
  <c r="Q312" i="59"/>
  <c r="T79" i="59"/>
  <c r="AD183" i="59"/>
  <c r="W183" i="59"/>
  <c r="AD311" i="59"/>
  <c r="W311" i="59"/>
  <c r="AD439" i="59"/>
  <c r="W439" i="59"/>
  <c r="AD300" i="59"/>
  <c r="W300" i="59"/>
  <c r="T152" i="59"/>
  <c r="T296" i="59"/>
  <c r="Q392" i="59"/>
  <c r="AC392" i="59"/>
  <c r="AD366" i="59"/>
  <c r="W366" i="59"/>
  <c r="AC81" i="59"/>
  <c r="AC217" i="59"/>
  <c r="AD329" i="59"/>
  <c r="W329" i="59"/>
  <c r="T481" i="59"/>
  <c r="AD412" i="59"/>
  <c r="W412" i="59"/>
  <c r="AC122" i="59"/>
  <c r="AC306" i="59"/>
  <c r="T372" i="59"/>
  <c r="T116" i="59"/>
  <c r="Q228" i="59"/>
  <c r="AC228" i="59"/>
  <c r="AD70" i="59"/>
  <c r="W70" i="59"/>
  <c r="T395" i="59"/>
  <c r="Q59" i="59"/>
  <c r="AC59" i="59"/>
  <c r="T107" i="59"/>
  <c r="AD147" i="59"/>
  <c r="W147" i="59"/>
  <c r="T195" i="59"/>
  <c r="AD235" i="59"/>
  <c r="W235" i="59"/>
  <c r="Q275" i="59"/>
  <c r="AC275" i="59"/>
  <c r="T323" i="59"/>
  <c r="AD363" i="59"/>
  <c r="W363" i="59"/>
  <c r="AD419" i="59"/>
  <c r="W419" i="59"/>
  <c r="AD483" i="59"/>
  <c r="W483" i="59"/>
  <c r="T76" i="59"/>
  <c r="AC156" i="59"/>
  <c r="AD220" i="59"/>
  <c r="W220" i="59"/>
  <c r="AD452" i="59"/>
  <c r="W452" i="59"/>
  <c r="AD182" i="59"/>
  <c r="W182" i="59"/>
  <c r="T462" i="59"/>
  <c r="AD37" i="59"/>
  <c r="W37" i="59"/>
  <c r="AD77" i="59"/>
  <c r="W77" i="59"/>
  <c r="AC117" i="59"/>
  <c r="AD141" i="59"/>
  <c r="W141" i="59"/>
  <c r="Q181" i="59"/>
  <c r="AC181" i="59"/>
  <c r="AC229" i="59"/>
  <c r="AD277" i="59"/>
  <c r="W277" i="59"/>
  <c r="T317" i="59"/>
  <c r="T381" i="59"/>
  <c r="AC421" i="59"/>
  <c r="AC398" i="59"/>
  <c r="Q108" i="59"/>
  <c r="Q117" i="59"/>
  <c r="Q357" i="59"/>
  <c r="AD15" i="59"/>
  <c r="W15" i="59"/>
  <c r="AC10" i="59"/>
  <c r="AC19" i="59"/>
  <c r="T404" i="59"/>
  <c r="T39" i="59"/>
  <c r="AC55" i="59"/>
  <c r="AD79" i="59"/>
  <c r="W79" i="59"/>
  <c r="T103" i="59"/>
  <c r="AC119" i="59"/>
  <c r="AD143" i="59"/>
  <c r="W143" i="59"/>
  <c r="AD167" i="59"/>
  <c r="W167" i="59"/>
  <c r="AC183" i="59"/>
  <c r="AD207" i="59"/>
  <c r="W207" i="59"/>
  <c r="T231" i="59"/>
  <c r="AC247" i="59"/>
  <c r="AD271" i="59"/>
  <c r="W271" i="59"/>
  <c r="T295" i="59"/>
  <c r="AC311" i="59"/>
  <c r="AD335" i="59"/>
  <c r="W335" i="59"/>
  <c r="T359" i="59"/>
  <c r="AC375" i="59"/>
  <c r="AD399" i="59"/>
  <c r="W399" i="59"/>
  <c r="T423" i="59"/>
  <c r="AC439" i="59"/>
  <c r="AD463" i="59"/>
  <c r="W463" i="59"/>
  <c r="T487" i="59"/>
  <c r="AC503" i="59"/>
  <c r="AD174" i="59"/>
  <c r="W174" i="59"/>
  <c r="T260" i="59"/>
  <c r="AC24" i="59"/>
  <c r="AD56" i="59"/>
  <c r="W56" i="59"/>
  <c r="T80" i="59"/>
  <c r="T104" i="59"/>
  <c r="AC128" i="59"/>
  <c r="AC152" i="59"/>
  <c r="AC176" i="59"/>
  <c r="AD200" i="59"/>
  <c r="W200" i="59"/>
  <c r="T224" i="59"/>
  <c r="T248" i="59"/>
  <c r="T272" i="59"/>
  <c r="AD296" i="59"/>
  <c r="W296" i="59"/>
  <c r="AC320" i="59"/>
  <c r="AC344" i="59"/>
  <c r="T376" i="59"/>
  <c r="T400" i="59"/>
  <c r="AD424" i="59"/>
  <c r="W424" i="59"/>
  <c r="AC448" i="59"/>
  <c r="AC472" i="59"/>
  <c r="T504" i="59"/>
  <c r="T254" i="59"/>
  <c r="AC366" i="59"/>
  <c r="AD163" i="59"/>
  <c r="W163" i="59"/>
  <c r="T266" i="59"/>
  <c r="T475" i="59"/>
  <c r="T25" i="59"/>
  <c r="AC41" i="59"/>
  <c r="T65" i="59"/>
  <c r="T89" i="59"/>
  <c r="AC105" i="59"/>
  <c r="T129" i="59"/>
  <c r="T153" i="59"/>
  <c r="AD177" i="59"/>
  <c r="W177" i="59"/>
  <c r="T201" i="59"/>
  <c r="T225" i="59"/>
  <c r="T249" i="59"/>
  <c r="AC265" i="59"/>
  <c r="AD289" i="59"/>
  <c r="W289" i="59"/>
  <c r="T313" i="59"/>
  <c r="AC329" i="59"/>
  <c r="AD353" i="59"/>
  <c r="W353" i="59"/>
  <c r="T377" i="59"/>
  <c r="AC393" i="59"/>
  <c r="AD417" i="59"/>
  <c r="W417" i="59"/>
  <c r="T441" i="59"/>
  <c r="AC457" i="59"/>
  <c r="AD481" i="59"/>
  <c r="W481" i="59"/>
  <c r="T505" i="59"/>
  <c r="AC14" i="59"/>
  <c r="AC158" i="59"/>
  <c r="AD302" i="59"/>
  <c r="W302" i="59"/>
  <c r="T430" i="59"/>
  <c r="AD348" i="59"/>
  <c r="W348" i="59"/>
  <c r="T332" i="59"/>
  <c r="AD26" i="59"/>
  <c r="W26" i="59"/>
  <c r="AD50" i="59"/>
  <c r="W50" i="59"/>
  <c r="AC74" i="59"/>
  <c r="AC98" i="59"/>
  <c r="T130" i="59"/>
  <c r="AD154" i="59"/>
  <c r="W154" i="59"/>
  <c r="T178" i="59"/>
  <c r="AD218" i="59"/>
  <c r="W218" i="59"/>
  <c r="AD250" i="59"/>
  <c r="W250" i="59"/>
  <c r="AD282" i="59"/>
  <c r="W282" i="59"/>
  <c r="AD314" i="59"/>
  <c r="W314" i="59"/>
  <c r="AD346" i="59"/>
  <c r="W346" i="59"/>
  <c r="AD378" i="59"/>
  <c r="W378" i="59"/>
  <c r="AD410" i="59"/>
  <c r="W410" i="59"/>
  <c r="AD442" i="59"/>
  <c r="W442" i="59"/>
  <c r="AD474" i="59"/>
  <c r="W474" i="59"/>
  <c r="AD506" i="59"/>
  <c r="W506" i="59"/>
  <c r="AD12" i="59"/>
  <c r="W12" i="59"/>
  <c r="AD60" i="59"/>
  <c r="W60" i="59"/>
  <c r="AC116" i="59"/>
  <c r="AD180" i="59"/>
  <c r="W180" i="59"/>
  <c r="AD244" i="59"/>
  <c r="W244" i="59"/>
  <c r="AD356" i="59"/>
  <c r="W356" i="59"/>
  <c r="T142" i="59"/>
  <c r="AC70" i="59"/>
  <c r="AD214" i="59"/>
  <c r="W214" i="59"/>
  <c r="AC270" i="59"/>
  <c r="AD342" i="59"/>
  <c r="W342" i="59"/>
  <c r="T446" i="59"/>
  <c r="T459" i="59"/>
  <c r="AD43" i="59"/>
  <c r="W43" i="59"/>
  <c r="T67" i="59"/>
  <c r="AC83" i="59"/>
  <c r="AD107" i="59"/>
  <c r="W107" i="59"/>
  <c r="T131" i="59"/>
  <c r="AC147" i="59"/>
  <c r="AC171" i="59"/>
  <c r="AD195" i="59"/>
  <c r="W195" i="59"/>
  <c r="T219" i="59"/>
  <c r="AC235" i="59"/>
  <c r="AD259" i="59"/>
  <c r="W259" i="59"/>
  <c r="T283" i="59"/>
  <c r="AC299" i="59"/>
  <c r="AD323" i="59"/>
  <c r="W323" i="59"/>
  <c r="T347" i="59"/>
  <c r="AC363" i="59"/>
  <c r="AC387" i="59"/>
  <c r="AC419" i="59"/>
  <c r="AC451" i="59"/>
  <c r="AC483" i="59"/>
  <c r="AD332" i="59"/>
  <c r="W332" i="59"/>
  <c r="T28" i="59"/>
  <c r="AC76" i="59"/>
  <c r="T124" i="59"/>
  <c r="T172" i="59"/>
  <c r="AC220" i="59"/>
  <c r="AC340" i="59"/>
  <c r="AC452" i="59"/>
  <c r="AC78" i="59"/>
  <c r="T182" i="59"/>
  <c r="T278" i="59"/>
  <c r="AC350" i="59"/>
  <c r="AD462" i="59"/>
  <c r="W462" i="59"/>
  <c r="AC13" i="59"/>
  <c r="T37" i="59"/>
  <c r="T61" i="59"/>
  <c r="AC77" i="59"/>
  <c r="T101" i="59"/>
  <c r="T125" i="59"/>
  <c r="AC141" i="59"/>
  <c r="AD165" i="59"/>
  <c r="W165" i="59"/>
  <c r="T189" i="59"/>
  <c r="AD213" i="59"/>
  <c r="W213" i="59"/>
  <c r="AD237" i="59"/>
  <c r="W237" i="59"/>
  <c r="AC253" i="59"/>
  <c r="T277" i="59"/>
  <c r="AD301" i="59"/>
  <c r="W301" i="59"/>
  <c r="AC317" i="59"/>
  <c r="T341" i="59"/>
  <c r="AD365" i="59"/>
  <c r="W365" i="59"/>
  <c r="AC381" i="59"/>
  <c r="T405" i="59"/>
  <c r="AD429" i="59"/>
  <c r="W429" i="59"/>
  <c r="AC445" i="59"/>
  <c r="T469" i="59"/>
  <c r="AD493" i="59"/>
  <c r="W493" i="59"/>
  <c r="AC38" i="59"/>
  <c r="AC166" i="59"/>
  <c r="AD294" i="59"/>
  <c r="W294" i="59"/>
  <c r="T438" i="59"/>
  <c r="T418" i="59"/>
  <c r="AC380" i="59"/>
  <c r="AD96" i="59"/>
  <c r="W96" i="59"/>
  <c r="AD256" i="59"/>
  <c r="W256" i="59"/>
  <c r="AD84" i="59"/>
  <c r="W84" i="59"/>
  <c r="T420" i="59"/>
  <c r="AD252" i="59"/>
  <c r="W252" i="59"/>
  <c r="AD205" i="59"/>
  <c r="AC460" i="59"/>
  <c r="T500" i="59"/>
  <c r="AC16" i="59"/>
  <c r="AD95" i="59"/>
  <c r="W95" i="59"/>
  <c r="AC199" i="59"/>
  <c r="T375" i="59"/>
  <c r="T196" i="59"/>
  <c r="T176" i="59"/>
  <c r="T344" i="59"/>
  <c r="T366" i="59"/>
  <c r="T81" i="59"/>
  <c r="T265" i="59"/>
  <c r="AD369" i="59"/>
  <c r="W369" i="59"/>
  <c r="Q500" i="59"/>
  <c r="AC500" i="59"/>
  <c r="AC42" i="59"/>
  <c r="AD242" i="59"/>
  <c r="W242" i="59"/>
  <c r="AD434" i="59"/>
  <c r="W434" i="59"/>
  <c r="AD228" i="59"/>
  <c r="W228" i="59"/>
  <c r="AD406" i="59"/>
  <c r="W406" i="59"/>
  <c r="T147" i="59"/>
  <c r="T299" i="59"/>
  <c r="Q475" i="59"/>
  <c r="AC475" i="59"/>
  <c r="AC204" i="59"/>
  <c r="T350" i="59"/>
  <c r="T117" i="59"/>
  <c r="AD181" i="59"/>
  <c r="W181" i="59"/>
  <c r="T293" i="59"/>
  <c r="Q262" i="59"/>
  <c r="AD52" i="59"/>
  <c r="W52" i="59"/>
  <c r="AD119" i="59"/>
  <c r="W119" i="59"/>
  <c r="AC223" i="59"/>
  <c r="T399" i="59"/>
  <c r="AD503" i="59"/>
  <c r="W503" i="59"/>
  <c r="Q72" i="59"/>
  <c r="AC72" i="59"/>
  <c r="Q264" i="59"/>
  <c r="AC264" i="59"/>
  <c r="T424" i="59"/>
  <c r="AC190" i="59"/>
  <c r="AD41" i="59"/>
  <c r="W41" i="59"/>
  <c r="AC193" i="59"/>
  <c r="T353" i="59"/>
  <c r="AD457" i="59"/>
  <c r="W457" i="59"/>
  <c r="AC390" i="59"/>
  <c r="AD98" i="59"/>
  <c r="W98" i="59"/>
  <c r="AC242" i="59"/>
  <c r="AC434" i="59"/>
  <c r="AC468" i="59"/>
  <c r="Q44" i="59"/>
  <c r="T468" i="59"/>
  <c r="AD103" i="59"/>
  <c r="W103" i="59"/>
  <c r="AD191" i="59"/>
  <c r="W191" i="59"/>
  <c r="Q271" i="59"/>
  <c r="AC271" i="59"/>
  <c r="AD359" i="59"/>
  <c r="W359" i="59"/>
  <c r="T447" i="59"/>
  <c r="AD112" i="59"/>
  <c r="W112" i="59"/>
  <c r="AC80" i="59"/>
  <c r="T184" i="59"/>
  <c r="AC272" i="59"/>
  <c r="AD376" i="59"/>
  <c r="W376" i="59"/>
  <c r="T480" i="59"/>
  <c r="T298" i="59"/>
  <c r="AD49" i="59"/>
  <c r="W49" i="59"/>
  <c r="AC129" i="59"/>
  <c r="AD249" i="59"/>
  <c r="W249" i="59"/>
  <c r="T337" i="59"/>
  <c r="T401" i="59"/>
  <c r="AC417" i="59"/>
  <c r="T465" i="59"/>
  <c r="AD62" i="59"/>
  <c r="W62" i="59"/>
  <c r="AD206" i="59"/>
  <c r="W206" i="59"/>
  <c r="Q302" i="59"/>
  <c r="AC302" i="59"/>
  <c r="AD430" i="59"/>
  <c r="W430" i="59"/>
  <c r="AD284" i="59"/>
  <c r="W284" i="59"/>
  <c r="T364" i="59"/>
  <c r="AC26" i="59"/>
  <c r="Q50" i="59"/>
  <c r="AC50" i="59"/>
  <c r="T82" i="59"/>
  <c r="AD106" i="59"/>
  <c r="W106" i="59"/>
  <c r="AD130" i="59"/>
  <c r="W130" i="59"/>
  <c r="AC154" i="59"/>
  <c r="Q178" i="59"/>
  <c r="AC178" i="59"/>
  <c r="AC218" i="59"/>
  <c r="Q250" i="59"/>
  <c r="AC250" i="59"/>
  <c r="AC282" i="59"/>
  <c r="Q314" i="59"/>
  <c r="AC314" i="59"/>
  <c r="AC346" i="59"/>
  <c r="Q378" i="59"/>
  <c r="AC378" i="59"/>
  <c r="AC410" i="59"/>
  <c r="Q442" i="59"/>
  <c r="AC442" i="59"/>
  <c r="AC474" i="59"/>
  <c r="Q506" i="59"/>
  <c r="AC506" i="59"/>
  <c r="T12" i="59"/>
  <c r="T60" i="59"/>
  <c r="T132" i="59"/>
  <c r="AC180" i="59"/>
  <c r="AC244" i="59"/>
  <c r="AC356" i="59"/>
  <c r="T22" i="59"/>
  <c r="T102" i="59"/>
  <c r="T214" i="59"/>
  <c r="T286" i="59"/>
  <c r="AC342" i="59"/>
  <c r="AD446" i="59"/>
  <c r="W446" i="59"/>
  <c r="T27" i="59"/>
  <c r="AC43" i="59"/>
  <c r="AD67" i="59"/>
  <c r="W67" i="59"/>
  <c r="T91" i="59"/>
  <c r="AC107" i="59"/>
  <c r="AD131" i="59"/>
  <c r="W131" i="59"/>
  <c r="T155" i="59"/>
  <c r="AD179" i="59"/>
  <c r="W179" i="59"/>
  <c r="AC195" i="59"/>
  <c r="AD219" i="59"/>
  <c r="W219" i="59"/>
  <c r="T243" i="59"/>
  <c r="AC259" i="59"/>
  <c r="AD283" i="59"/>
  <c r="W283" i="59"/>
  <c r="T307" i="59"/>
  <c r="AC323" i="59"/>
  <c r="AD347" i="59"/>
  <c r="W347" i="59"/>
  <c r="T371" i="59"/>
  <c r="AD395" i="59"/>
  <c r="W395" i="59"/>
  <c r="AD427" i="59"/>
  <c r="W427" i="59"/>
  <c r="AD459" i="59"/>
  <c r="W459" i="59"/>
  <c r="AD491" i="59"/>
  <c r="W491" i="59"/>
  <c r="T276" i="59"/>
  <c r="AC28" i="59"/>
  <c r="AD92" i="59"/>
  <c r="W92" i="59"/>
  <c r="AC124" i="59"/>
  <c r="AD172" i="59"/>
  <c r="W172" i="59"/>
  <c r="AD236" i="59"/>
  <c r="W236" i="59"/>
  <c r="AD372" i="59"/>
  <c r="W372" i="59"/>
  <c r="T78" i="59"/>
  <c r="T118" i="59"/>
  <c r="AC182" i="59"/>
  <c r="AD278" i="59"/>
  <c r="W278" i="59"/>
  <c r="T382" i="59"/>
  <c r="AC462" i="59"/>
  <c r="AD21" i="59"/>
  <c r="W21" i="59"/>
  <c r="AC37" i="59"/>
  <c r="AD61" i="59"/>
  <c r="W61" i="59"/>
  <c r="AD85" i="59"/>
  <c r="W85" i="59"/>
  <c r="AC101" i="59"/>
  <c r="AD125" i="59"/>
  <c r="W125" i="59"/>
  <c r="AD149" i="59"/>
  <c r="W149" i="59"/>
  <c r="AC165" i="59"/>
  <c r="AD189" i="59"/>
  <c r="W189" i="59"/>
  <c r="T213" i="59"/>
  <c r="T237" i="59"/>
  <c r="AD261" i="59"/>
  <c r="W261" i="59"/>
  <c r="AC277" i="59"/>
  <c r="T301" i="59"/>
  <c r="AD325" i="59"/>
  <c r="W325" i="59"/>
  <c r="AC341" i="59"/>
  <c r="T365" i="59"/>
  <c r="AD389" i="59"/>
  <c r="W389" i="59"/>
  <c r="AC405" i="59"/>
  <c r="T429" i="59"/>
  <c r="AD453" i="59"/>
  <c r="W453" i="59"/>
  <c r="AC469" i="59"/>
  <c r="T493" i="59"/>
  <c r="T86" i="59"/>
  <c r="AD198" i="59"/>
  <c r="W198" i="59"/>
  <c r="AC294" i="59"/>
  <c r="AD438" i="59"/>
  <c r="W438" i="59"/>
  <c r="AD178" i="59"/>
  <c r="W178" i="59"/>
  <c r="T90" i="59"/>
  <c r="T306" i="59"/>
  <c r="T370" i="59"/>
  <c r="T482" i="59"/>
  <c r="AD8" i="59"/>
  <c r="W8" i="59"/>
  <c r="AD352" i="59"/>
  <c r="W352" i="59"/>
  <c r="W400" i="59"/>
  <c r="AD400" i="59"/>
  <c r="AD448" i="59"/>
  <c r="W448" i="59"/>
  <c r="AC316" i="59"/>
  <c r="T348" i="59"/>
  <c r="T55" i="59"/>
  <c r="AD223" i="59"/>
  <c r="W223" i="59"/>
  <c r="Q391" i="59"/>
  <c r="AC391" i="59"/>
  <c r="T48" i="59"/>
  <c r="AD216" i="59"/>
  <c r="W216" i="59"/>
  <c r="AC440" i="59"/>
  <c r="T41" i="59"/>
  <c r="AD217" i="59"/>
  <c r="W217" i="59"/>
  <c r="AC409" i="59"/>
  <c r="T268" i="59"/>
  <c r="AD210" i="59"/>
  <c r="W210" i="59"/>
  <c r="AD466" i="59"/>
  <c r="W466" i="59"/>
  <c r="T174" i="59"/>
  <c r="AD123" i="59"/>
  <c r="W123" i="59"/>
  <c r="Q315" i="59"/>
  <c r="AC315" i="59"/>
  <c r="AC20" i="59"/>
  <c r="T230" i="59"/>
  <c r="T77" i="59"/>
  <c r="AC157" i="59"/>
  <c r="AD253" i="59"/>
  <c r="W253" i="59"/>
  <c r="AD317" i="59"/>
  <c r="W317" i="59"/>
  <c r="T357" i="59"/>
  <c r="AC397" i="59"/>
  <c r="AC461" i="59"/>
  <c r="T38" i="59"/>
  <c r="Q246" i="59"/>
  <c r="AC246" i="59"/>
  <c r="AD19" i="59"/>
  <c r="W19" i="59"/>
  <c r="T143" i="59"/>
  <c r="AD247" i="59"/>
  <c r="W247" i="59"/>
  <c r="AC351" i="59"/>
  <c r="AC479" i="59"/>
  <c r="T128" i="59"/>
  <c r="AC240" i="59"/>
  <c r="Q368" i="59"/>
  <c r="AC368" i="59"/>
  <c r="T234" i="59"/>
  <c r="AD105" i="59"/>
  <c r="W105" i="59"/>
  <c r="AC241" i="59"/>
  <c r="AC369" i="59"/>
  <c r="AD14" i="59"/>
  <c r="W14" i="59"/>
  <c r="T50" i="59"/>
  <c r="AC210" i="59"/>
  <c r="AC402" i="59"/>
  <c r="Q174" i="59"/>
  <c r="AC174" i="59"/>
  <c r="AC15" i="59"/>
  <c r="AD39" i="59"/>
  <c r="W39" i="59"/>
  <c r="T127" i="59"/>
  <c r="AC207" i="59"/>
  <c r="AD295" i="59"/>
  <c r="W295" i="59"/>
  <c r="T383" i="59"/>
  <c r="T454" i="59"/>
  <c r="T56" i="59"/>
  <c r="AD136" i="59"/>
  <c r="W136" i="59"/>
  <c r="AD224" i="59"/>
  <c r="W224" i="59"/>
  <c r="AC296" i="59"/>
  <c r="AC400" i="59"/>
  <c r="AD254" i="59"/>
  <c r="W254" i="59"/>
  <c r="T498" i="59"/>
  <c r="AD89" i="59"/>
  <c r="W89" i="59"/>
  <c r="AC177" i="59"/>
  <c r="AC225" i="59"/>
  <c r="AD313" i="59"/>
  <c r="W313" i="59"/>
  <c r="AD441" i="59"/>
  <c r="W441" i="59"/>
  <c r="Q242" i="59"/>
  <c r="Q53" i="59"/>
  <c r="Q308" i="59"/>
  <c r="AC18" i="59"/>
  <c r="AC39" i="59"/>
  <c r="AC103" i="59"/>
  <c r="AC167" i="59"/>
  <c r="AC231" i="59"/>
  <c r="AC295" i="59"/>
  <c r="AC359" i="59"/>
  <c r="AC423" i="59"/>
  <c r="AC487" i="59"/>
  <c r="T324" i="59"/>
  <c r="AD88" i="59"/>
  <c r="W88" i="59"/>
  <c r="AC160" i="59"/>
  <c r="AC224" i="59"/>
  <c r="T304" i="59"/>
  <c r="AC376" i="59"/>
  <c r="AD456" i="59"/>
  <c r="W456" i="59"/>
  <c r="AC254" i="59"/>
  <c r="AD36" i="59"/>
  <c r="W36" i="59"/>
  <c r="T49" i="59"/>
  <c r="T113" i="59"/>
  <c r="T185" i="59"/>
  <c r="AD273" i="59"/>
  <c r="W273" i="59"/>
  <c r="AD337" i="59"/>
  <c r="W337" i="59"/>
  <c r="AD401" i="59"/>
  <c r="W401" i="59"/>
  <c r="Q441" i="59"/>
  <c r="AC441" i="59"/>
  <c r="T489" i="59"/>
  <c r="Q505" i="59"/>
  <c r="AC505" i="59"/>
  <c r="AC62" i="59"/>
  <c r="AC430" i="59"/>
  <c r="AD221" i="59"/>
  <c r="W221" i="59"/>
  <c r="T394" i="59"/>
  <c r="T34" i="59"/>
  <c r="AD58" i="59"/>
  <c r="W58" i="59"/>
  <c r="AD82" i="59"/>
  <c r="W82" i="59"/>
  <c r="AC106" i="59"/>
  <c r="AC130" i="59"/>
  <c r="T162" i="59"/>
  <c r="AD186" i="59"/>
  <c r="W186" i="59"/>
  <c r="AD226" i="59"/>
  <c r="W226" i="59"/>
  <c r="AD258" i="59"/>
  <c r="W258" i="59"/>
  <c r="AD290" i="59"/>
  <c r="W290" i="59"/>
  <c r="AD322" i="59"/>
  <c r="W322" i="59"/>
  <c r="AD354" i="59"/>
  <c r="W354" i="59"/>
  <c r="AD386" i="59"/>
  <c r="W386" i="59"/>
  <c r="AD418" i="59"/>
  <c r="W418" i="59"/>
  <c r="AD450" i="59"/>
  <c r="W450" i="59"/>
  <c r="AD482" i="59"/>
  <c r="W482" i="59"/>
  <c r="AD396" i="59"/>
  <c r="W396" i="59"/>
  <c r="AC12" i="59"/>
  <c r="AC60" i="59"/>
  <c r="AC132" i="59"/>
  <c r="AD196" i="59"/>
  <c r="W196" i="59"/>
  <c r="AD260" i="59"/>
  <c r="W260" i="59"/>
  <c r="AD404" i="59"/>
  <c r="W404" i="59"/>
  <c r="AD22" i="59"/>
  <c r="W22" i="59"/>
  <c r="AD102" i="59"/>
  <c r="W102" i="59"/>
  <c r="Q214" i="59"/>
  <c r="AC214" i="59"/>
  <c r="AD286" i="59"/>
  <c r="W286" i="59"/>
  <c r="T374" i="59"/>
  <c r="AC446" i="59"/>
  <c r="AD27" i="59"/>
  <c r="W27" i="59"/>
  <c r="T51" i="59"/>
  <c r="AC67" i="59"/>
  <c r="AD91" i="59"/>
  <c r="W91" i="59"/>
  <c r="T115" i="59"/>
  <c r="AC131" i="59"/>
  <c r="AD155" i="59"/>
  <c r="W155" i="59"/>
  <c r="T179" i="59"/>
  <c r="T203" i="59"/>
  <c r="Q219" i="59"/>
  <c r="AC219" i="59"/>
  <c r="AD243" i="59"/>
  <c r="W243" i="59"/>
  <c r="T267" i="59"/>
  <c r="Q283" i="59"/>
  <c r="AC283" i="59"/>
  <c r="AD307" i="59"/>
  <c r="W307" i="59"/>
  <c r="T331" i="59"/>
  <c r="AC347" i="59"/>
  <c r="AD371" i="59"/>
  <c r="W371" i="59"/>
  <c r="Q395" i="59"/>
  <c r="AC395" i="59"/>
  <c r="AC427" i="59"/>
  <c r="Q459" i="59"/>
  <c r="AC459" i="59"/>
  <c r="AC491" i="59"/>
  <c r="T340" i="59"/>
  <c r="T52" i="59"/>
  <c r="T92" i="59"/>
  <c r="AD140" i="59"/>
  <c r="W140" i="59"/>
  <c r="AC172" i="59"/>
  <c r="AC236" i="59"/>
  <c r="AC372" i="59"/>
  <c r="AD30" i="59"/>
  <c r="W30" i="59"/>
  <c r="AD118" i="59"/>
  <c r="W118" i="59"/>
  <c r="AD222" i="59"/>
  <c r="W222" i="59"/>
  <c r="AC278" i="59"/>
  <c r="AD382" i="59"/>
  <c r="W382" i="59"/>
  <c r="T502" i="59"/>
  <c r="T21" i="59"/>
  <c r="T45" i="59"/>
  <c r="AC61" i="59"/>
  <c r="T85" i="59"/>
  <c r="T109" i="59"/>
  <c r="AC125" i="59"/>
  <c r="T149" i="59"/>
  <c r="T173" i="59"/>
  <c r="AC189" i="59"/>
  <c r="AC213" i="59"/>
  <c r="AC237" i="59"/>
  <c r="T261" i="59"/>
  <c r="AD285" i="59"/>
  <c r="W285" i="59"/>
  <c r="AC301" i="59"/>
  <c r="T325" i="59"/>
  <c r="AD349" i="59"/>
  <c r="W349" i="59"/>
  <c r="AC365" i="59"/>
  <c r="T389" i="59"/>
  <c r="AD413" i="59"/>
  <c r="W413" i="59"/>
  <c r="AC429" i="59"/>
  <c r="T453" i="59"/>
  <c r="AD477" i="59"/>
  <c r="W477" i="59"/>
  <c r="AC493" i="59"/>
  <c r="AD86" i="59"/>
  <c r="W86" i="59"/>
  <c r="T198" i="59"/>
  <c r="T358" i="59"/>
  <c r="Q438" i="59"/>
  <c r="AC438" i="59"/>
  <c r="T74" i="59"/>
  <c r="AD209" i="59"/>
  <c r="W209" i="59"/>
  <c r="T226" i="59"/>
  <c r="T210" i="59"/>
  <c r="AD16" i="59"/>
  <c r="W16" i="59"/>
  <c r="AD64" i="59"/>
  <c r="W64" i="59"/>
  <c r="AC268" i="59"/>
  <c r="AC428" i="59"/>
  <c r="T284" i="59"/>
  <c r="AC252" i="59"/>
  <c r="AC476" i="59"/>
  <c r="AD444" i="59"/>
  <c r="AD116" i="59"/>
  <c r="W116" i="59"/>
  <c r="AD159" i="59"/>
  <c r="W159" i="59"/>
  <c r="T311" i="59"/>
  <c r="Q455" i="59"/>
  <c r="AC455" i="59"/>
  <c r="AD24" i="59"/>
  <c r="W24" i="59"/>
  <c r="AC192" i="59"/>
  <c r="T368" i="59"/>
  <c r="T190" i="59"/>
  <c r="Q57" i="59"/>
  <c r="AC57" i="59"/>
  <c r="AD193" i="59"/>
  <c r="W193" i="59"/>
  <c r="AC345" i="59"/>
  <c r="AD497" i="59"/>
  <c r="W497" i="59"/>
  <c r="AD476" i="59"/>
  <c r="W476" i="59"/>
  <c r="AD146" i="59"/>
  <c r="W146" i="59"/>
  <c r="AD402" i="59"/>
  <c r="W402" i="59"/>
  <c r="T164" i="59"/>
  <c r="Q318" i="59"/>
  <c r="AC318" i="59"/>
  <c r="AC99" i="59"/>
  <c r="Q251" i="59"/>
  <c r="AC251" i="59"/>
  <c r="Q379" i="59"/>
  <c r="AC379" i="59"/>
  <c r="AD76" i="59"/>
  <c r="W76" i="59"/>
  <c r="AC54" i="59"/>
  <c r="T53" i="59"/>
  <c r="T205" i="59"/>
  <c r="T122" i="59"/>
  <c r="AC412" i="59"/>
  <c r="AD10" i="59"/>
  <c r="W10" i="59"/>
  <c r="Q95" i="59"/>
  <c r="AC95" i="59"/>
  <c r="T271" i="59"/>
  <c r="AC415" i="59"/>
  <c r="T228" i="59"/>
  <c r="AD104" i="59"/>
  <c r="W104" i="59"/>
  <c r="Q216" i="59"/>
  <c r="AC216" i="59"/>
  <c r="T448" i="59"/>
  <c r="T452" i="59"/>
  <c r="AD129" i="59"/>
  <c r="W129" i="59"/>
  <c r="T289" i="59"/>
  <c r="AD393" i="59"/>
  <c r="W393" i="59"/>
  <c r="AC497" i="59"/>
  <c r="T499" i="59"/>
  <c r="AC170" i="59"/>
  <c r="AC370" i="59"/>
  <c r="T342" i="59"/>
  <c r="AD18" i="59"/>
  <c r="W18" i="59"/>
  <c r="T63" i="59"/>
  <c r="T167" i="59"/>
  <c r="T255" i="59"/>
  <c r="Q335" i="59"/>
  <c r="AC335" i="59"/>
  <c r="AD423" i="59"/>
  <c r="W423" i="59"/>
  <c r="AD487" i="59"/>
  <c r="W487" i="59"/>
  <c r="T32" i="59"/>
  <c r="AC104" i="59"/>
  <c r="AC200" i="59"/>
  <c r="T328" i="59"/>
  <c r="AC424" i="59"/>
  <c r="AD504" i="59"/>
  <c r="W504" i="59"/>
  <c r="AD100" i="59"/>
  <c r="W100" i="59"/>
  <c r="AC65" i="59"/>
  <c r="AD153" i="59"/>
  <c r="W153" i="59"/>
  <c r="T273" i="59"/>
  <c r="AC353" i="59"/>
  <c r="AD505" i="59"/>
  <c r="W505" i="59"/>
  <c r="Q241" i="59"/>
  <c r="Q170" i="59"/>
  <c r="Q204" i="59"/>
  <c r="Q421" i="59"/>
  <c r="T23" i="59"/>
  <c r="AD63" i="59"/>
  <c r="W63" i="59"/>
  <c r="T151" i="59"/>
  <c r="T215" i="59"/>
  <c r="T279" i="59"/>
  <c r="AD319" i="59"/>
  <c r="W319" i="59"/>
  <c r="AD383" i="59"/>
  <c r="W383" i="59"/>
  <c r="T471" i="59"/>
  <c r="AD48" i="59"/>
  <c r="W48" i="59"/>
  <c r="AC56" i="59"/>
  <c r="T136" i="59"/>
  <c r="T208" i="59"/>
  <c r="T280" i="59"/>
  <c r="AC352" i="59"/>
  <c r="T432" i="59"/>
  <c r="AC504" i="59"/>
  <c r="T330" i="59"/>
  <c r="AC25" i="59"/>
  <c r="AC89" i="59"/>
  <c r="AC153" i="59"/>
  <c r="AC201" i="59"/>
  <c r="Q249" i="59"/>
  <c r="AC249" i="59"/>
  <c r="Q313" i="59"/>
  <c r="AC313" i="59"/>
  <c r="Q377" i="59"/>
  <c r="AC377" i="59"/>
  <c r="T334" i="59"/>
  <c r="Q192" i="59"/>
  <c r="Q473" i="59"/>
  <c r="Q42" i="59"/>
  <c r="Q402" i="59"/>
  <c r="Q474" i="59"/>
  <c r="Q43" i="59"/>
  <c r="Q195" i="59"/>
  <c r="Q29" i="59"/>
  <c r="Q485" i="59"/>
  <c r="Q487" i="59"/>
  <c r="Q352" i="59"/>
  <c r="Q272" i="59"/>
  <c r="Q269" i="59"/>
  <c r="T8" i="59"/>
  <c r="T11" i="59"/>
  <c r="AD368" i="59"/>
  <c r="W368" i="59"/>
  <c r="AD23" i="59"/>
  <c r="W23" i="59"/>
  <c r="T47" i="59"/>
  <c r="Q63" i="59"/>
  <c r="AC63" i="59"/>
  <c r="AD87" i="59"/>
  <c r="W87" i="59"/>
  <c r="T111" i="59"/>
  <c r="Q127" i="59"/>
  <c r="AC127" i="59"/>
  <c r="AD151" i="59"/>
  <c r="W151" i="59"/>
  <c r="AD175" i="59"/>
  <c r="W175" i="59"/>
  <c r="AC191" i="59"/>
  <c r="AD215" i="59"/>
  <c r="W215" i="59"/>
  <c r="T239" i="59"/>
  <c r="Q255" i="59"/>
  <c r="AC255" i="59"/>
  <c r="AD279" i="59"/>
  <c r="W279" i="59"/>
  <c r="T303" i="59"/>
  <c r="Q319" i="59"/>
  <c r="AC319" i="59"/>
  <c r="AD343" i="59"/>
  <c r="W343" i="59"/>
  <c r="T367" i="59"/>
  <c r="Q383" i="59"/>
  <c r="AC383" i="59"/>
  <c r="AD407" i="59"/>
  <c r="W407" i="59"/>
  <c r="T431" i="59"/>
  <c r="AC447" i="59"/>
  <c r="AD471" i="59"/>
  <c r="W471" i="59"/>
  <c r="T495" i="59"/>
  <c r="AC454" i="59"/>
  <c r="T30" i="59"/>
  <c r="T356" i="59"/>
  <c r="AD40" i="59"/>
  <c r="W40" i="59"/>
  <c r="T64" i="59"/>
  <c r="T88" i="59"/>
  <c r="AC112" i="59"/>
  <c r="Q136" i="59"/>
  <c r="AC136" i="59"/>
  <c r="T168" i="59"/>
  <c r="Q184" i="59"/>
  <c r="AC184" i="59"/>
  <c r="AD208" i="59"/>
  <c r="W208" i="59"/>
  <c r="T232" i="59"/>
  <c r="T256" i="59"/>
  <c r="AD280" i="59"/>
  <c r="W280" i="59"/>
  <c r="AC304" i="59"/>
  <c r="Q328" i="59"/>
  <c r="AC328" i="59"/>
  <c r="T360" i="59"/>
  <c r="T384" i="59"/>
  <c r="AD408" i="59"/>
  <c r="W408" i="59"/>
  <c r="Q432" i="59"/>
  <c r="AC432" i="59"/>
  <c r="Q456" i="59"/>
  <c r="AC456" i="59"/>
  <c r="T488" i="59"/>
  <c r="AD190" i="59"/>
  <c r="W190" i="59"/>
  <c r="T310" i="59"/>
  <c r="Q422" i="59"/>
  <c r="AC422" i="59"/>
  <c r="T42" i="59"/>
  <c r="T362" i="59"/>
  <c r="AD9" i="59"/>
  <c r="W9" i="59"/>
  <c r="AD33" i="59"/>
  <c r="W33" i="59"/>
  <c r="AC49" i="59"/>
  <c r="AD73" i="59"/>
  <c r="W73" i="59"/>
  <c r="AD97" i="59"/>
  <c r="W97" i="59"/>
  <c r="AC113" i="59"/>
  <c r="AD137" i="59"/>
  <c r="W137" i="59"/>
  <c r="AD161" i="59"/>
  <c r="W161" i="59"/>
  <c r="AD185" i="59"/>
  <c r="W185" i="59"/>
  <c r="T209" i="59"/>
  <c r="AD233" i="59"/>
  <c r="W233" i="59"/>
  <c r="T257" i="59"/>
  <c r="AC273" i="59"/>
  <c r="AD297" i="59"/>
  <c r="W297" i="59"/>
  <c r="T321" i="59"/>
  <c r="AC337" i="59"/>
  <c r="AD361" i="59"/>
  <c r="W361" i="59"/>
  <c r="T385" i="59"/>
  <c r="AC401" i="59"/>
  <c r="AD425" i="59"/>
  <c r="W425" i="59"/>
  <c r="T449" i="59"/>
  <c r="AC465" i="59"/>
  <c r="AD489" i="59"/>
  <c r="W489" i="59"/>
  <c r="AD484" i="59"/>
  <c r="W484" i="59"/>
  <c r="AD94" i="59"/>
  <c r="W94" i="59"/>
  <c r="AC206" i="59"/>
  <c r="AD334" i="59"/>
  <c r="W334" i="59"/>
  <c r="T486" i="59"/>
  <c r="T46" i="59"/>
  <c r="T412" i="59"/>
  <c r="AD34" i="59"/>
  <c r="W34" i="59"/>
  <c r="AC58" i="59"/>
  <c r="AC82" i="59"/>
  <c r="T114" i="59"/>
  <c r="AD138" i="59"/>
  <c r="W138" i="59"/>
  <c r="AD162" i="59"/>
  <c r="W162" i="59"/>
  <c r="AC186" i="59"/>
  <c r="AC226" i="59"/>
  <c r="AC258" i="59"/>
  <c r="AC290" i="59"/>
  <c r="AC322" i="59"/>
  <c r="AC354" i="59"/>
  <c r="AC386" i="59"/>
  <c r="AC418" i="59"/>
  <c r="AC450" i="59"/>
  <c r="AC482" i="59"/>
  <c r="AD268" i="59"/>
  <c r="W268" i="59"/>
  <c r="T36" i="59"/>
  <c r="T84" i="59"/>
  <c r="T148" i="59"/>
  <c r="Q196" i="59"/>
  <c r="AC196" i="59"/>
  <c r="AC260" i="59"/>
  <c r="AC404" i="59"/>
  <c r="AC22" i="59"/>
  <c r="AC102" i="59"/>
  <c r="T238" i="59"/>
  <c r="AC286" i="59"/>
  <c r="AD374" i="59"/>
  <c r="W374" i="59"/>
  <c r="T494" i="59"/>
  <c r="AC27" i="59"/>
  <c r="AD51" i="59"/>
  <c r="W51" i="59"/>
  <c r="T75" i="59"/>
  <c r="AC91" i="59"/>
  <c r="AD115" i="59"/>
  <c r="W115" i="59"/>
  <c r="T139" i="59"/>
  <c r="AC155" i="59"/>
  <c r="AC179" i="59"/>
  <c r="AD203" i="59"/>
  <c r="W203" i="59"/>
  <c r="T227" i="59"/>
  <c r="AC243" i="59"/>
  <c r="AD267" i="59"/>
  <c r="W267" i="59"/>
  <c r="T291" i="59"/>
  <c r="AC307" i="59"/>
  <c r="AD331" i="59"/>
  <c r="W331" i="59"/>
  <c r="T355" i="59"/>
  <c r="AC371" i="59"/>
  <c r="AD403" i="59"/>
  <c r="W403" i="59"/>
  <c r="AD435" i="59"/>
  <c r="W435" i="59"/>
  <c r="AD467" i="59"/>
  <c r="W467" i="59"/>
  <c r="AD499" i="59"/>
  <c r="W499" i="59"/>
  <c r="T396" i="59"/>
  <c r="AC52" i="59"/>
  <c r="AC92" i="59"/>
  <c r="T140" i="59"/>
  <c r="AD188" i="59"/>
  <c r="W188" i="59"/>
  <c r="AD276" i="59"/>
  <c r="W276" i="59"/>
  <c r="AD388" i="59"/>
  <c r="W388" i="59"/>
  <c r="AC30" i="59"/>
  <c r="AC118" i="59"/>
  <c r="T222" i="59"/>
  <c r="T326" i="59"/>
  <c r="AC382" i="59"/>
  <c r="AD502" i="59"/>
  <c r="W502" i="59"/>
  <c r="AC21" i="59"/>
  <c r="AD45" i="59"/>
  <c r="W45" i="59"/>
  <c r="AD69" i="59"/>
  <c r="W69" i="59"/>
  <c r="Q85" i="59"/>
  <c r="AC85" i="59"/>
  <c r="AD109" i="59"/>
  <c r="W109" i="59"/>
  <c r="AD133" i="59"/>
  <c r="W133" i="59"/>
  <c r="AC149" i="59"/>
  <c r="AD173" i="59"/>
  <c r="W173" i="59"/>
  <c r="T197" i="59"/>
  <c r="T221" i="59"/>
  <c r="AD245" i="59"/>
  <c r="W245" i="59"/>
  <c r="Q261" i="59"/>
  <c r="AC261" i="59"/>
  <c r="T285" i="59"/>
  <c r="AD309" i="59"/>
  <c r="W309" i="59"/>
  <c r="AC325" i="59"/>
  <c r="T349" i="59"/>
  <c r="AD373" i="59"/>
  <c r="W373" i="59"/>
  <c r="AC389" i="59"/>
  <c r="T413" i="59"/>
  <c r="AD437" i="59"/>
  <c r="W437" i="59"/>
  <c r="Q453" i="59"/>
  <c r="AC453" i="59"/>
  <c r="T477" i="59"/>
  <c r="AD501" i="59"/>
  <c r="W501" i="59"/>
  <c r="AC86" i="59"/>
  <c r="AC198" i="59"/>
  <c r="AD358" i="59"/>
  <c r="W358" i="59"/>
  <c r="T478" i="59"/>
  <c r="T386" i="59"/>
  <c r="T169" i="59"/>
  <c r="T387" i="59"/>
  <c r="T7" i="59"/>
  <c r="T110" i="59"/>
  <c r="AD160" i="59"/>
  <c r="W160" i="59"/>
  <c r="AD272" i="59"/>
  <c r="W272" i="59"/>
  <c r="AD320" i="59"/>
  <c r="W320" i="59"/>
  <c r="AD68" i="59"/>
  <c r="W68" i="59"/>
  <c r="AC348" i="59"/>
  <c r="Q7" i="59"/>
  <c r="AC7" i="59"/>
  <c r="T119" i="59"/>
  <c r="Q263" i="59"/>
  <c r="AC263" i="59"/>
  <c r="T439" i="59"/>
  <c r="T72" i="59"/>
  <c r="T240" i="59"/>
  <c r="AD392" i="59"/>
  <c r="W392" i="59"/>
  <c r="Q470" i="59"/>
  <c r="AC470" i="59"/>
  <c r="T105" i="59"/>
  <c r="AD241" i="59"/>
  <c r="W241" i="59"/>
  <c r="T393" i="59"/>
  <c r="AC126" i="59"/>
  <c r="T98" i="59"/>
  <c r="AD274" i="59"/>
  <c r="W274" i="59"/>
  <c r="T44" i="59"/>
  <c r="AD468" i="59"/>
  <c r="W468" i="59"/>
  <c r="T83" i="59"/>
  <c r="AD211" i="59"/>
  <c r="W211" i="59"/>
  <c r="AD339" i="59"/>
  <c r="W339" i="59"/>
  <c r="Q507" i="59"/>
  <c r="AC507" i="59"/>
  <c r="AC420" i="59"/>
  <c r="AC93" i="59"/>
  <c r="AD288" i="59"/>
  <c r="W288" i="59"/>
  <c r="AD384" i="59"/>
  <c r="W384" i="59"/>
  <c r="T220" i="59"/>
  <c r="T15" i="59"/>
  <c r="AD55" i="59"/>
  <c r="W55" i="59"/>
  <c r="Q159" i="59"/>
  <c r="AC159" i="59"/>
  <c r="AC287" i="59"/>
  <c r="AD375" i="59"/>
  <c r="W375" i="59"/>
  <c r="T24" i="59"/>
  <c r="AD176" i="59"/>
  <c r="W176" i="59"/>
  <c r="T320" i="59"/>
  <c r="AD472" i="59"/>
  <c r="W472" i="59"/>
  <c r="AD225" i="59"/>
  <c r="W225" i="59"/>
  <c r="AD65" i="59"/>
  <c r="W65" i="59"/>
  <c r="AC169" i="59"/>
  <c r="AC305" i="59"/>
  <c r="AC433" i="59"/>
  <c r="T302" i="59"/>
  <c r="AD74" i="59"/>
  <c r="W74" i="59"/>
  <c r="AC274" i="59"/>
  <c r="AC466" i="59"/>
  <c r="AD270" i="59"/>
  <c r="W270" i="59"/>
  <c r="Q306" i="59"/>
  <c r="Q99" i="59"/>
  <c r="Q461" i="59"/>
  <c r="AD496" i="59"/>
  <c r="W496" i="59"/>
  <c r="AC79" i="59"/>
  <c r="Q143" i="59"/>
  <c r="AC143" i="59"/>
  <c r="AD231" i="59"/>
  <c r="W231" i="59"/>
  <c r="T319" i="59"/>
  <c r="AC399" i="59"/>
  <c r="AC463" i="59"/>
  <c r="T292" i="59"/>
  <c r="T160" i="59"/>
  <c r="AD248" i="59"/>
  <c r="W248" i="59"/>
  <c r="T352" i="59"/>
  <c r="T456" i="59"/>
  <c r="T422" i="59"/>
  <c r="AD25" i="59"/>
  <c r="W25" i="59"/>
  <c r="AD113" i="59"/>
  <c r="W113" i="59"/>
  <c r="AD201" i="59"/>
  <c r="W201" i="59"/>
  <c r="AC289" i="59"/>
  <c r="AD377" i="59"/>
  <c r="W377" i="59"/>
  <c r="AC481" i="59"/>
  <c r="Q104" i="59"/>
  <c r="Q177" i="59"/>
  <c r="Q35" i="59"/>
  <c r="T18" i="59"/>
  <c r="AD432" i="59"/>
  <c r="W432" i="59"/>
  <c r="T87" i="59"/>
  <c r="AD127" i="59"/>
  <c r="W127" i="59"/>
  <c r="T191" i="59"/>
  <c r="AD255" i="59"/>
  <c r="W255" i="59"/>
  <c r="T343" i="59"/>
  <c r="T407" i="59"/>
  <c r="W447" i="59"/>
  <c r="AD447" i="59"/>
  <c r="AD454" i="59"/>
  <c r="W454" i="59"/>
  <c r="AC32" i="59"/>
  <c r="T112" i="59"/>
  <c r="AD184" i="59"/>
  <c r="W184" i="59"/>
  <c r="AC248" i="59"/>
  <c r="AD328" i="59"/>
  <c r="W328" i="59"/>
  <c r="T408" i="59"/>
  <c r="AC480" i="59"/>
  <c r="AD422" i="59"/>
  <c r="W422" i="59"/>
  <c r="T9" i="59"/>
  <c r="T73" i="59"/>
  <c r="T137" i="59"/>
  <c r="T233" i="59"/>
  <c r="T297" i="59"/>
  <c r="T361" i="59"/>
  <c r="T425" i="59"/>
  <c r="AD465" i="59"/>
  <c r="W465" i="59"/>
  <c r="T206" i="59"/>
  <c r="Q48" i="59"/>
  <c r="Q120" i="59"/>
  <c r="Q200" i="59"/>
  <c r="Q65" i="59"/>
  <c r="Q129" i="59"/>
  <c r="Q193" i="59"/>
  <c r="Q409" i="59"/>
  <c r="Q481" i="59"/>
  <c r="Q122" i="59"/>
  <c r="Q338" i="59"/>
  <c r="Q410" i="59"/>
  <c r="Q150" i="59"/>
  <c r="Q230" i="59"/>
  <c r="Q439" i="59"/>
  <c r="Q223" i="59"/>
  <c r="Q492" i="59"/>
  <c r="Q440" i="59"/>
  <c r="Q157" i="59"/>
  <c r="Q8" i="59"/>
  <c r="AC8" i="59"/>
  <c r="AD11" i="59"/>
  <c r="W11" i="59"/>
  <c r="AD304" i="59"/>
  <c r="W304" i="59"/>
  <c r="AC23" i="59"/>
  <c r="AD47" i="59"/>
  <c r="W47" i="59"/>
  <c r="T71" i="59"/>
  <c r="AC87" i="59"/>
  <c r="AD111" i="59"/>
  <c r="W111" i="59"/>
  <c r="T135" i="59"/>
  <c r="AC151" i="59"/>
  <c r="T175" i="59"/>
  <c r="T199" i="59"/>
  <c r="AC215" i="59"/>
  <c r="AD239" i="59"/>
  <c r="W239" i="59"/>
  <c r="T263" i="59"/>
  <c r="AC279" i="59"/>
  <c r="AD303" i="59"/>
  <c r="W303" i="59"/>
  <c r="T327" i="59"/>
  <c r="AC343" i="59"/>
  <c r="AD367" i="59"/>
  <c r="W367" i="59"/>
  <c r="T391" i="59"/>
  <c r="AC407" i="59"/>
  <c r="AD431" i="59"/>
  <c r="W431" i="59"/>
  <c r="T455" i="59"/>
  <c r="AC471" i="59"/>
  <c r="AD495" i="59"/>
  <c r="W495" i="59"/>
  <c r="AD492" i="59"/>
  <c r="W492" i="59"/>
  <c r="T94" i="59"/>
  <c r="T428" i="59"/>
  <c r="T40" i="59"/>
  <c r="AC64" i="59"/>
  <c r="AC88" i="59"/>
  <c r="AD120" i="59"/>
  <c r="W120" i="59"/>
  <c r="T144" i="59"/>
  <c r="AD168" i="59"/>
  <c r="W168" i="59"/>
  <c r="T192" i="59"/>
  <c r="AC208" i="59"/>
  <c r="AD232" i="59"/>
  <c r="W232" i="59"/>
  <c r="AC256" i="59"/>
  <c r="Q280" i="59"/>
  <c r="AC280" i="59"/>
  <c r="T312" i="59"/>
  <c r="T336" i="59"/>
  <c r="AD360" i="59"/>
  <c r="W360" i="59"/>
  <c r="AC384" i="59"/>
  <c r="Q408" i="59"/>
  <c r="AC408" i="59"/>
  <c r="T440" i="59"/>
  <c r="T464" i="59"/>
  <c r="AD488" i="59"/>
  <c r="W488" i="59"/>
  <c r="AD110" i="59"/>
  <c r="W110" i="59"/>
  <c r="AD310" i="59"/>
  <c r="W310" i="59"/>
  <c r="T470" i="59"/>
  <c r="T106" i="59"/>
  <c r="T388" i="59"/>
  <c r="AC9" i="59"/>
  <c r="T33" i="59"/>
  <c r="T57" i="59"/>
  <c r="AC73" i="59"/>
  <c r="T97" i="59"/>
  <c r="T121" i="59"/>
  <c r="AC137" i="59"/>
  <c r="T161" i="59"/>
  <c r="AC185" i="59"/>
  <c r="AC209" i="59"/>
  <c r="AC233" i="59"/>
  <c r="AD257" i="59"/>
  <c r="W257" i="59"/>
  <c r="T281" i="59"/>
  <c r="AC297" i="59"/>
  <c r="AD321" i="59"/>
  <c r="W321" i="59"/>
  <c r="T345" i="59"/>
  <c r="AC361" i="59"/>
  <c r="AD385" i="59"/>
  <c r="W385" i="59"/>
  <c r="T409" i="59"/>
  <c r="AC425" i="59"/>
  <c r="AD449" i="59"/>
  <c r="W449" i="59"/>
  <c r="T473" i="59"/>
  <c r="AC489" i="59"/>
  <c r="AC484" i="59"/>
  <c r="AC94" i="59"/>
  <c r="T262" i="59"/>
  <c r="AC334" i="59"/>
  <c r="AD486" i="59"/>
  <c r="W486" i="59"/>
  <c r="T204" i="59"/>
  <c r="T435" i="59"/>
  <c r="AC34" i="59"/>
  <c r="T66" i="59"/>
  <c r="AD90" i="59"/>
  <c r="W90" i="59"/>
  <c r="AD114" i="59"/>
  <c r="W114" i="59"/>
  <c r="AC138" i="59"/>
  <c r="AC162" i="59"/>
  <c r="AD202" i="59"/>
  <c r="W202" i="59"/>
  <c r="AD234" i="59"/>
  <c r="W234" i="59"/>
  <c r="AD266" i="59"/>
  <c r="W266" i="59"/>
  <c r="AD298" i="59"/>
  <c r="W298" i="59"/>
  <c r="AD330" i="59"/>
  <c r="W330" i="59"/>
  <c r="AD362" i="59"/>
  <c r="W362" i="59"/>
  <c r="AD394" i="59"/>
  <c r="W394" i="59"/>
  <c r="AD426" i="59"/>
  <c r="W426" i="59"/>
  <c r="AD458" i="59"/>
  <c r="W458" i="59"/>
  <c r="AD490" i="59"/>
  <c r="W490" i="59"/>
  <c r="T180" i="59"/>
  <c r="AC36" i="59"/>
  <c r="AC84" i="59"/>
  <c r="AC148" i="59"/>
  <c r="AD212" i="59"/>
  <c r="W212" i="59"/>
  <c r="AD292" i="59"/>
  <c r="W292" i="59"/>
  <c r="AD436" i="59"/>
  <c r="W436" i="59"/>
  <c r="AD46" i="59"/>
  <c r="W46" i="59"/>
  <c r="AD142" i="59"/>
  <c r="W142" i="59"/>
  <c r="AD238" i="59"/>
  <c r="W238" i="59"/>
  <c r="T318" i="59"/>
  <c r="AC374" i="59"/>
  <c r="AD494" i="59"/>
  <c r="W494" i="59"/>
  <c r="T35" i="59"/>
  <c r="AC51" i="59"/>
  <c r="AD75" i="59"/>
  <c r="W75" i="59"/>
  <c r="T99" i="59"/>
  <c r="AC115" i="59"/>
  <c r="AD139" i="59"/>
  <c r="W139" i="59"/>
  <c r="T163" i="59"/>
  <c r="T187" i="59"/>
  <c r="AC203" i="59"/>
  <c r="AD227" i="59"/>
  <c r="W227" i="59"/>
  <c r="T251" i="59"/>
  <c r="AC267" i="59"/>
  <c r="AD291" i="59"/>
  <c r="W291" i="59"/>
  <c r="T315" i="59"/>
  <c r="AC331" i="59"/>
  <c r="AD355" i="59"/>
  <c r="W355" i="59"/>
  <c r="T379" i="59"/>
  <c r="AC403" i="59"/>
  <c r="AC435" i="59"/>
  <c r="AC467" i="59"/>
  <c r="AC499" i="59"/>
  <c r="T460" i="59"/>
  <c r="T68" i="59"/>
  <c r="AD108" i="59"/>
  <c r="W108" i="59"/>
  <c r="AC140" i="59"/>
  <c r="AC188" i="59"/>
  <c r="AC276" i="59"/>
  <c r="AC388" i="59"/>
  <c r="T54" i="59"/>
  <c r="T150" i="59"/>
  <c r="AC222" i="59"/>
  <c r="AD326" i="59"/>
  <c r="W326" i="59"/>
  <c r="T414" i="59"/>
  <c r="Q502" i="59"/>
  <c r="AC502" i="59"/>
  <c r="T29" i="59"/>
  <c r="Q45" i="59"/>
  <c r="AC45" i="59"/>
  <c r="T69" i="59"/>
  <c r="T93" i="59"/>
  <c r="Q109" i="59"/>
  <c r="AC109" i="59"/>
  <c r="T133" i="59"/>
  <c r="T157" i="59"/>
  <c r="AC173" i="59"/>
  <c r="AD197" i="59"/>
  <c r="W197" i="59"/>
  <c r="AC221" i="59"/>
  <c r="T245" i="59"/>
  <c r="AD269" i="59"/>
  <c r="W269" i="59"/>
  <c r="AC285" i="59"/>
  <c r="T309" i="59"/>
  <c r="AD333" i="59"/>
  <c r="W333" i="59"/>
  <c r="AC349" i="59"/>
  <c r="T373" i="59"/>
  <c r="AD397" i="59"/>
  <c r="W397" i="59"/>
  <c r="AC413" i="59"/>
  <c r="T437" i="59"/>
  <c r="AD461" i="59"/>
  <c r="W461" i="59"/>
  <c r="AC477" i="59"/>
  <c r="T501" i="59"/>
  <c r="T134" i="59"/>
  <c r="T246" i="59"/>
  <c r="AC358" i="59"/>
  <c r="AD478" i="59"/>
  <c r="W478" i="59"/>
  <c r="T442" i="59"/>
  <c r="T443" i="59"/>
  <c r="T274" i="59"/>
  <c r="T62" i="59"/>
  <c r="AD128" i="59"/>
  <c r="W128" i="59"/>
  <c r="AD416" i="59"/>
  <c r="W416" i="59"/>
  <c r="AD464" i="59"/>
  <c r="W464" i="59"/>
  <c r="AC396" i="59"/>
  <c r="T436" i="59"/>
  <c r="AD148" i="59"/>
  <c r="W148" i="59"/>
  <c r="AC284" i="59"/>
  <c r="T484" i="59"/>
  <c r="AC71" i="59"/>
  <c r="T247" i="59"/>
  <c r="AD351" i="59"/>
  <c r="W351" i="59"/>
  <c r="AD479" i="59"/>
  <c r="W479" i="59"/>
  <c r="AC96" i="59"/>
  <c r="AC288" i="59"/>
  <c r="T472" i="59"/>
  <c r="T202" i="59"/>
  <c r="AC121" i="59"/>
  <c r="AC281" i="59"/>
  <c r="T457" i="59"/>
  <c r="T476" i="59"/>
  <c r="AD170" i="59"/>
  <c r="W170" i="59"/>
  <c r="AD370" i="59"/>
  <c r="W370" i="59"/>
  <c r="AC100" i="59"/>
  <c r="T270" i="59"/>
  <c r="AD59" i="59"/>
  <c r="W59" i="59"/>
  <c r="Q187" i="59"/>
  <c r="AC187" i="59"/>
  <c r="T363" i="59"/>
  <c r="T156" i="59"/>
  <c r="AC414" i="59"/>
  <c r="Q345" i="59"/>
  <c r="Q66" i="59"/>
  <c r="Q420" i="59"/>
  <c r="Q333" i="59"/>
  <c r="AD7" i="59"/>
  <c r="W7" i="59"/>
  <c r="T16" i="59"/>
  <c r="AC11" i="59"/>
  <c r="AD240" i="59"/>
  <c r="W240" i="59"/>
  <c r="T31" i="59"/>
  <c r="Q47" i="59"/>
  <c r="AC47" i="59"/>
  <c r="AD71" i="59"/>
  <c r="W71" i="59"/>
  <c r="T95" i="59"/>
  <c r="Q111" i="59"/>
  <c r="AC111" i="59"/>
  <c r="AD135" i="59"/>
  <c r="W135" i="59"/>
  <c r="T159" i="59"/>
  <c r="Q175" i="59"/>
  <c r="AC175" i="59"/>
  <c r="AD199" i="59"/>
  <c r="W199" i="59"/>
  <c r="T223" i="59"/>
  <c r="AC239" i="59"/>
  <c r="AD263" i="59"/>
  <c r="W263" i="59"/>
  <c r="T287" i="59"/>
  <c r="AC303" i="59"/>
  <c r="AD327" i="59"/>
  <c r="W327" i="59"/>
  <c r="T351" i="59"/>
  <c r="AC367" i="59"/>
  <c r="AD391" i="59"/>
  <c r="W391" i="59"/>
  <c r="T415" i="59"/>
  <c r="AC431" i="59"/>
  <c r="AD455" i="59"/>
  <c r="W455" i="59"/>
  <c r="T479" i="59"/>
  <c r="AC495" i="59"/>
  <c r="AD428" i="59"/>
  <c r="W428" i="59"/>
  <c r="T158" i="59"/>
  <c r="T492" i="59"/>
  <c r="AC40" i="59"/>
  <c r="AD72" i="59"/>
  <c r="W72" i="59"/>
  <c r="T96" i="59"/>
  <c r="T120" i="59"/>
  <c r="AC144" i="59"/>
  <c r="AC168" i="59"/>
  <c r="AD192" i="59"/>
  <c r="W192" i="59"/>
  <c r="T216" i="59"/>
  <c r="AC232" i="59"/>
  <c r="T264" i="59"/>
  <c r="T288" i="59"/>
  <c r="AD312" i="59"/>
  <c r="W312" i="59"/>
  <c r="AC336" i="59"/>
  <c r="AC360" i="59"/>
  <c r="T392" i="59"/>
  <c r="T416" i="59"/>
  <c r="AD440" i="59"/>
  <c r="W440" i="59"/>
  <c r="AC464" i="59"/>
  <c r="AC488" i="59"/>
  <c r="AC110" i="59"/>
  <c r="AC310" i="59"/>
  <c r="AD470" i="59"/>
  <c r="W470" i="59"/>
  <c r="T166" i="59"/>
  <c r="T411" i="59"/>
  <c r="AD17" i="59"/>
  <c r="W17" i="59"/>
  <c r="AC33" i="59"/>
  <c r="AD57" i="59"/>
  <c r="W57" i="59"/>
  <c r="AD81" i="59"/>
  <c r="W81" i="59"/>
  <c r="AC97" i="59"/>
  <c r="AD121" i="59"/>
  <c r="W121" i="59"/>
  <c r="AD145" i="59"/>
  <c r="W145" i="59"/>
  <c r="AC161" i="59"/>
  <c r="T193" i="59"/>
  <c r="T217" i="59"/>
  <c r="T241" i="59"/>
  <c r="AC257" i="59"/>
  <c r="AD281" i="59"/>
  <c r="W281" i="59"/>
  <c r="T305" i="59"/>
  <c r="AC321" i="59"/>
  <c r="AD345" i="59"/>
  <c r="W345" i="59"/>
  <c r="T369" i="59"/>
  <c r="AC385" i="59"/>
  <c r="AD409" i="59"/>
  <c r="W409" i="59"/>
  <c r="T433" i="59"/>
  <c r="AC449" i="59"/>
  <c r="AD473" i="59"/>
  <c r="W473" i="59"/>
  <c r="T497" i="59"/>
  <c r="AD500" i="59"/>
  <c r="W500" i="59"/>
  <c r="AD126" i="59"/>
  <c r="W126" i="59"/>
  <c r="AD262" i="59"/>
  <c r="W262" i="59"/>
  <c r="T390" i="59"/>
  <c r="Q486" i="59"/>
  <c r="AC486" i="59"/>
  <c r="T236" i="59"/>
  <c r="T458" i="59"/>
  <c r="AD42" i="59"/>
  <c r="W42" i="59"/>
  <c r="AD66" i="59"/>
  <c r="W66" i="59"/>
  <c r="AC90" i="59"/>
  <c r="AC114" i="59"/>
  <c r="T146" i="59"/>
  <c r="T170" i="59"/>
  <c r="AC202" i="59"/>
  <c r="AC234" i="59"/>
  <c r="AC266" i="59"/>
  <c r="AC298" i="59"/>
  <c r="AC330" i="59"/>
  <c r="AC362" i="59"/>
  <c r="AC394" i="59"/>
  <c r="AC426" i="59"/>
  <c r="AC458" i="59"/>
  <c r="AC490" i="59"/>
  <c r="T244" i="59"/>
  <c r="AD44" i="59"/>
  <c r="W44" i="59"/>
  <c r="T100" i="59"/>
  <c r="AD164" i="59"/>
  <c r="W164" i="59"/>
  <c r="AC212" i="59"/>
  <c r="AC292" i="59"/>
  <c r="AC436" i="59"/>
  <c r="AC46" i="59"/>
  <c r="AC142" i="59"/>
  <c r="AC238" i="59"/>
  <c r="AD318" i="59"/>
  <c r="W318" i="59"/>
  <c r="T406" i="59"/>
  <c r="AC494" i="59"/>
  <c r="AD35" i="59"/>
  <c r="W35" i="59"/>
  <c r="T59" i="59"/>
  <c r="AC75" i="59"/>
  <c r="AD99" i="59"/>
  <c r="W99" i="59"/>
  <c r="T123" i="59"/>
  <c r="AC139" i="59"/>
  <c r="AC163" i="59"/>
  <c r="AD187" i="59"/>
  <c r="W187" i="59"/>
  <c r="T211" i="59"/>
  <c r="AC227" i="59"/>
  <c r="AD251" i="59"/>
  <c r="W251" i="59"/>
  <c r="T275" i="59"/>
  <c r="AC291" i="59"/>
  <c r="AD315" i="59"/>
  <c r="W315" i="59"/>
  <c r="T339" i="59"/>
  <c r="AC355" i="59"/>
  <c r="AD379" i="59"/>
  <c r="W379" i="59"/>
  <c r="AD411" i="59"/>
  <c r="W411" i="59"/>
  <c r="AD443" i="59"/>
  <c r="W443" i="59"/>
  <c r="AD475" i="59"/>
  <c r="W475" i="59"/>
  <c r="AD507" i="59"/>
  <c r="W507" i="59"/>
  <c r="T20" i="59"/>
  <c r="Q68" i="59"/>
  <c r="AC68" i="59"/>
  <c r="T108" i="59"/>
  <c r="AD156" i="59"/>
  <c r="W156" i="59"/>
  <c r="AD204" i="59"/>
  <c r="W204" i="59"/>
  <c r="AD308" i="59"/>
  <c r="W308" i="59"/>
  <c r="AD420" i="59"/>
  <c r="W420" i="59"/>
  <c r="AD54" i="59"/>
  <c r="W54" i="59"/>
  <c r="AD150" i="59"/>
  <c r="W150" i="59"/>
  <c r="AD230" i="59"/>
  <c r="W230" i="59"/>
  <c r="AC326" i="59"/>
  <c r="AD414" i="59"/>
  <c r="W414" i="59"/>
  <c r="AD194" i="59"/>
  <c r="W194" i="59"/>
  <c r="AD29" i="59"/>
  <c r="W29" i="59"/>
  <c r="AD53" i="59"/>
  <c r="W53" i="59"/>
  <c r="AC69" i="59"/>
  <c r="AD93" i="59"/>
  <c r="W93" i="59"/>
  <c r="AD117" i="59"/>
  <c r="W117" i="59"/>
  <c r="AC133" i="59"/>
  <c r="AD157" i="59"/>
  <c r="W157" i="59"/>
  <c r="T181" i="59"/>
  <c r="AC197" i="59"/>
  <c r="AD229" i="59"/>
  <c r="W229" i="59"/>
  <c r="AC245" i="59"/>
  <c r="T269" i="59"/>
  <c r="AD293" i="59"/>
  <c r="W293" i="59"/>
  <c r="AC309" i="59"/>
  <c r="T333" i="59"/>
  <c r="AD357" i="59"/>
  <c r="W357" i="59"/>
  <c r="AC373" i="59"/>
  <c r="T397" i="59"/>
  <c r="AD421" i="59"/>
  <c r="W421" i="59"/>
  <c r="AC437" i="59"/>
  <c r="T461" i="59"/>
  <c r="AD485" i="59"/>
  <c r="W485" i="59"/>
  <c r="AC501" i="59"/>
  <c r="AD134" i="59"/>
  <c r="W134" i="59"/>
  <c r="AD246" i="59"/>
  <c r="W246" i="59"/>
  <c r="T398" i="59"/>
  <c r="AC478" i="59"/>
  <c r="T483" i="59"/>
  <c r="T177" i="59"/>
  <c r="T490" i="59"/>
  <c r="T58" i="59"/>
  <c r="T338" i="59"/>
  <c r="T491" i="59"/>
  <c r="T14" i="59"/>
  <c r="AC332" i="59"/>
  <c r="T212" i="59"/>
  <c r="AC300" i="59"/>
  <c r="T444" i="59"/>
  <c r="AD132" i="59"/>
  <c r="W132" i="59"/>
  <c r="AC364" i="59"/>
  <c r="Q4" i="59" l="1"/>
  <c r="BB13" i="59"/>
  <c r="BC12" i="59"/>
  <c r="BD12" i="59"/>
  <c r="S4" i="59"/>
  <c r="W4" i="59"/>
  <c r="T4" i="59"/>
  <c r="V4" i="59"/>
  <c r="BB14" i="59" l="1"/>
  <c r="BC13" i="59"/>
  <c r="BD13" i="59"/>
  <c r="BB15" i="59" l="1"/>
  <c r="BC14" i="59"/>
  <c r="BD14" i="59"/>
  <c r="BB16" i="59" l="1"/>
  <c r="BC15" i="59"/>
  <c r="BD15" i="59"/>
  <c r="BB17" i="59" l="1"/>
  <c r="BC16" i="59"/>
  <c r="BD16" i="59"/>
  <c r="BB18" i="59" l="1"/>
  <c r="BC17" i="59"/>
  <c r="BD17" i="59"/>
  <c r="BB19" i="59" l="1"/>
  <c r="BC18" i="59"/>
  <c r="BD18" i="59"/>
  <c r="BB20" i="59" l="1"/>
  <c r="BC19" i="59"/>
  <c r="BD19" i="59"/>
  <c r="BB21" i="59" l="1"/>
  <c r="BD20" i="59"/>
  <c r="BC20" i="59"/>
  <c r="BB22" i="59" l="1"/>
  <c r="BD21" i="59"/>
  <c r="BC21" i="59"/>
  <c r="BB23" i="59" l="1"/>
  <c r="BC22" i="59"/>
  <c r="BD22" i="59"/>
  <c r="BB24" i="59" l="1"/>
  <c r="BC23" i="59"/>
  <c r="BD23" i="59"/>
  <c r="BB25" i="59" l="1"/>
  <c r="BD24" i="59"/>
  <c r="BC24" i="59"/>
  <c r="BB26" i="59" l="1"/>
  <c r="BC25" i="59"/>
  <c r="BD25" i="59"/>
  <c r="BC26" i="59" l="1"/>
  <c r="BD26" i="59"/>
  <c r="BB27" i="59"/>
  <c r="BC27" i="59" l="1"/>
  <c r="BB28" i="59"/>
  <c r="BD27" i="59"/>
  <c r="BC28" i="59" l="1"/>
  <c r="BB29" i="59"/>
  <c r="BD28" i="59"/>
  <c r="BD29" i="59" l="1"/>
  <c r="BC29" i="59"/>
</calcChain>
</file>

<file path=xl/sharedStrings.xml><?xml version="1.0" encoding="utf-8"?>
<sst xmlns="http://schemas.openxmlformats.org/spreadsheetml/2006/main" count="3479" uniqueCount="42">
  <si>
    <t>N</t>
  </si>
  <si>
    <t>a0</t>
  </si>
  <si>
    <t>a1</t>
  </si>
  <si>
    <t>-</t>
  </si>
  <si>
    <t>x</t>
  </si>
  <si>
    <t>y exact</t>
  </si>
  <si>
    <t>y+0.1*N(0,0.01)+0.9*N(0,2)</t>
  </si>
  <si>
    <t>Min,max</t>
  </si>
  <si>
    <t>" same as right</t>
  </si>
  <si>
    <t>ANN-middle</t>
  </si>
  <si>
    <t>middle ANN</t>
  </si>
  <si>
    <t>err middle</t>
  </si>
  <si>
    <t>SQ</t>
  </si>
  <si>
    <t>ANN-low</t>
  </si>
  <si>
    <t>err low</t>
  </si>
  <si>
    <t>low ANN</t>
  </si>
  <si>
    <t>high ANN</t>
  </si>
  <si>
    <t>ANN-high</t>
  </si>
  <si>
    <t>err high</t>
  </si>
  <si>
    <t>under/upper</t>
  </si>
  <si>
    <t>shading</t>
  </si>
  <si>
    <t>error bar low</t>
  </si>
  <si>
    <t>error bar high</t>
  </si>
  <si>
    <t>b1</t>
  </si>
  <si>
    <t>b0</t>
  </si>
  <si>
    <t>b10</t>
  </si>
  <si>
    <t>b11</t>
  </si>
  <si>
    <t>b2</t>
  </si>
  <si>
    <t>b20</t>
  </si>
  <si>
    <t>b21</t>
  </si>
  <si>
    <t>b3</t>
  </si>
  <si>
    <t>b30</t>
  </si>
  <si>
    <t>b31</t>
  </si>
  <si>
    <t>b4</t>
  </si>
  <si>
    <t>b41</t>
  </si>
  <si>
    <t>b5</t>
  </si>
  <si>
    <t>b50</t>
  </si>
  <si>
    <t>b51</t>
  </si>
  <si>
    <t>b40</t>
  </si>
  <si>
    <t>Coefficients of neural networks</t>
  </si>
  <si>
    <t>Central (α=0.5, symmetric)</t>
  </si>
  <si>
    <t>High (α=0.1)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</si>
</sst>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4" x14ac:knownFonts="1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7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0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2" borderId="0" xfId="0" applyFill="1" applyAlignment="1">
      <alignment horizontal="center"/>
    </xf>
    <xf numFmtId="0" fontId="3" fillId="0" borderId="0" xfId="0" applyFont="1"/>
    <xf numFmtId="0" fontId="0" fillId="0" borderId="0" xfId="0" quotePrefix="1"/>
    <xf numFmtId="165" fontId="0" fillId="0" borderId="0" xfId="0" applyNumberFormat="1"/>
    <xf numFmtId="165" fontId="0" fillId="0" borderId="0" xfId="0" quotePrefix="1" applyNumberFormat="1"/>
    <xf numFmtId="165" fontId="0" fillId="2" borderId="0" xfId="0" applyNumberForma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Fitting neural networks</a:t>
            </a:r>
            <a:r>
              <a:rPr lang="en-US" baseline="0"/>
              <a:t> for middle, upper &amp; lower bounds</a:t>
            </a:r>
            <a:endParaRPr lang="en-US"/>
          </a:p>
        </c:rich>
      </c:tx>
      <c:layout>
        <c:manualLayout>
          <c:xMode val="edge"/>
          <c:yMode val="edge"/>
          <c:x val="0.15957628449713701"/>
          <c:y val="1.32434733128023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86777030460596"/>
          <c:y val="0.16739161442964995"/>
          <c:w val="0.8296579118437355"/>
          <c:h val="0.71862999847210218"/>
        </c:manualLayout>
      </c:layout>
      <c:areaChart>
        <c:grouping val="standard"/>
        <c:varyColors val="0"/>
        <c:ser>
          <c:idx val="5"/>
          <c:order val="5"/>
          <c:tx>
            <c:strRef>
              <c:f>'test function'!$AL$5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numRef>
              <c:f>'test function'!$AK$6:$AK$509</c:f>
              <c:numCache>
                <c:formatCode>General</c:formatCode>
                <c:ptCount val="504"/>
                <c:pt idx="0">
                  <c:v>0</c:v>
                </c:pt>
                <c:pt idx="1">
                  <c:v>0</c:v>
                </c:pt>
                <c:pt idx="2">
                  <c:v>6.9027579560575663E-3</c:v>
                </c:pt>
                <c:pt idx="3">
                  <c:v>1.2486472851962072</c:v>
                </c:pt>
                <c:pt idx="4">
                  <c:v>2.775973285289838</c:v>
                </c:pt>
                <c:pt idx="5">
                  <c:v>4.3250843205280098</c:v>
                </c:pt>
                <c:pt idx="6">
                  <c:v>6.1028277694973392</c:v>
                </c:pt>
                <c:pt idx="7">
                  <c:v>7.0460844651496117</c:v>
                </c:pt>
                <c:pt idx="8">
                  <c:v>9.1047239656695673</c:v>
                </c:pt>
                <c:pt idx="9">
                  <c:v>10.990839259808489</c:v>
                </c:pt>
                <c:pt idx="10">
                  <c:v>14.363875529809857</c:v>
                </c:pt>
                <c:pt idx="11">
                  <c:v>19.701903969172488</c:v>
                </c:pt>
                <c:pt idx="12">
                  <c:v>24.029532505010948</c:v>
                </c:pt>
                <c:pt idx="13">
                  <c:v>25.056872056503799</c:v>
                </c:pt>
                <c:pt idx="14">
                  <c:v>26.732635406727763</c:v>
                </c:pt>
                <c:pt idx="15">
                  <c:v>27.969142416463466</c:v>
                </c:pt>
                <c:pt idx="16">
                  <c:v>30.151815413462728</c:v>
                </c:pt>
                <c:pt idx="17">
                  <c:v>30.251500975663042</c:v>
                </c:pt>
                <c:pt idx="18">
                  <c:v>30.595741036539916</c:v>
                </c:pt>
                <c:pt idx="19">
                  <c:v>31.264614012705096</c:v>
                </c:pt>
                <c:pt idx="20">
                  <c:v>31.99627442319154</c:v>
                </c:pt>
                <c:pt idx="21">
                  <c:v>36.960251674047932</c:v>
                </c:pt>
                <c:pt idx="22">
                  <c:v>37.370959940744463</c:v>
                </c:pt>
                <c:pt idx="23">
                  <c:v>38.986722444392136</c:v>
                </c:pt>
                <c:pt idx="24">
                  <c:v>41.721057089514943</c:v>
                </c:pt>
                <c:pt idx="25">
                  <c:v>43.367610429164316</c:v>
                </c:pt>
                <c:pt idx="26">
                  <c:v>52.177560112790736</c:v>
                </c:pt>
                <c:pt idx="27">
                  <c:v>54.326518563339214</c:v>
                </c:pt>
                <c:pt idx="28">
                  <c:v>55.092417172017342</c:v>
                </c:pt>
                <c:pt idx="29">
                  <c:v>57.815784351395685</c:v>
                </c:pt>
                <c:pt idx="30">
                  <c:v>61.041082400674682</c:v>
                </c:pt>
                <c:pt idx="31">
                  <c:v>64.808210574514035</c:v>
                </c:pt>
                <c:pt idx="32">
                  <c:v>65.519029681159523</c:v>
                </c:pt>
                <c:pt idx="33">
                  <c:v>67.860036395161771</c:v>
                </c:pt>
                <c:pt idx="34">
                  <c:v>67.957580629228602</c:v>
                </c:pt>
                <c:pt idx="35">
                  <c:v>68.231507973251183</c:v>
                </c:pt>
                <c:pt idx="36">
                  <c:v>75.248315271653638</c:v>
                </c:pt>
                <c:pt idx="37">
                  <c:v>79.056100728725582</c:v>
                </c:pt>
                <c:pt idx="38">
                  <c:v>79.326379507507013</c:v>
                </c:pt>
                <c:pt idx="39">
                  <c:v>80.005659163816432</c:v>
                </c:pt>
                <c:pt idx="40">
                  <c:v>81.60681058131695</c:v>
                </c:pt>
                <c:pt idx="41">
                  <c:v>82.926641892358248</c:v>
                </c:pt>
                <c:pt idx="42">
                  <c:v>85.430679382887078</c:v>
                </c:pt>
                <c:pt idx="43">
                  <c:v>89.099594023596566</c:v>
                </c:pt>
                <c:pt idx="44">
                  <c:v>90.592390686597611</c:v>
                </c:pt>
                <c:pt idx="45">
                  <c:v>93.836915873970057</c:v>
                </c:pt>
                <c:pt idx="46">
                  <c:v>93.886988166404038</c:v>
                </c:pt>
                <c:pt idx="47">
                  <c:v>95.498485381447495</c:v>
                </c:pt>
                <c:pt idx="48">
                  <c:v>96.544514974197583</c:v>
                </c:pt>
                <c:pt idx="49">
                  <c:v>100.5884410288877</c:v>
                </c:pt>
                <c:pt idx="50">
                  <c:v>103.08410853351251</c:v>
                </c:pt>
                <c:pt idx="51">
                  <c:v>103.42235593077621</c:v>
                </c:pt>
                <c:pt idx="52">
                  <c:v>108.56643434413144</c:v>
                </c:pt>
                <c:pt idx="53">
                  <c:v>108.91349662480631</c:v>
                </c:pt>
                <c:pt idx="54">
                  <c:v>110.03970593194137</c:v>
                </c:pt>
                <c:pt idx="55">
                  <c:v>115.07368226949164</c:v>
                </c:pt>
                <c:pt idx="56">
                  <c:v>115.28126284632644</c:v>
                </c:pt>
                <c:pt idx="57">
                  <c:v>116.33765508950357</c:v>
                </c:pt>
                <c:pt idx="58">
                  <c:v>117.65182432916959</c:v>
                </c:pt>
                <c:pt idx="59">
                  <c:v>119.31735106169018</c:v>
                </c:pt>
                <c:pt idx="60">
                  <c:v>124.73298677908177</c:v>
                </c:pt>
                <c:pt idx="61">
                  <c:v>124.95063294619187</c:v>
                </c:pt>
                <c:pt idx="62">
                  <c:v>126.05570529490556</c:v>
                </c:pt>
                <c:pt idx="63">
                  <c:v>126.92674580574399</c:v>
                </c:pt>
                <c:pt idx="64">
                  <c:v>128.91684707161698</c:v>
                </c:pt>
                <c:pt idx="65">
                  <c:v>132.18594376262624</c:v>
                </c:pt>
                <c:pt idx="66">
                  <c:v>134.22689534450785</c:v>
                </c:pt>
                <c:pt idx="67">
                  <c:v>136.44679429706341</c:v>
                </c:pt>
                <c:pt idx="68">
                  <c:v>142.1952379435285</c:v>
                </c:pt>
                <c:pt idx="69">
                  <c:v>148.76384718674564</c:v>
                </c:pt>
                <c:pt idx="70">
                  <c:v>148.8869287807955</c:v>
                </c:pt>
                <c:pt idx="71">
                  <c:v>151.0976613477298</c:v>
                </c:pt>
                <c:pt idx="72">
                  <c:v>152.07241245538825</c:v>
                </c:pt>
                <c:pt idx="73">
                  <c:v>152.88537125136995</c:v>
                </c:pt>
                <c:pt idx="74">
                  <c:v>154.18337078914126</c:v>
                </c:pt>
                <c:pt idx="75">
                  <c:v>155.68859269267884</c:v>
                </c:pt>
                <c:pt idx="76">
                  <c:v>162.58269412984339</c:v>
                </c:pt>
                <c:pt idx="77">
                  <c:v>164.6178725207416</c:v>
                </c:pt>
                <c:pt idx="78">
                  <c:v>167.02058076548187</c:v>
                </c:pt>
                <c:pt idx="79">
                  <c:v>168.50433018475931</c:v>
                </c:pt>
                <c:pt idx="80">
                  <c:v>168.53085166502083</c:v>
                </c:pt>
                <c:pt idx="81">
                  <c:v>172.75427963191615</c:v>
                </c:pt>
                <c:pt idx="82">
                  <c:v>172.84096034461521</c:v>
                </c:pt>
                <c:pt idx="83">
                  <c:v>176.03574174732321</c:v>
                </c:pt>
                <c:pt idx="84">
                  <c:v>177.59857936391188</c:v>
                </c:pt>
                <c:pt idx="85">
                  <c:v>178.10578039827573</c:v>
                </c:pt>
                <c:pt idx="86">
                  <c:v>179.36930471035424</c:v>
                </c:pt>
                <c:pt idx="87">
                  <c:v>180.51555066116683</c:v>
                </c:pt>
                <c:pt idx="88">
                  <c:v>182.06370371278095</c:v>
                </c:pt>
                <c:pt idx="89">
                  <c:v>183.78222367210043</c:v>
                </c:pt>
                <c:pt idx="90">
                  <c:v>188.66416565065524</c:v>
                </c:pt>
                <c:pt idx="91">
                  <c:v>189.37959617513707</c:v>
                </c:pt>
                <c:pt idx="92">
                  <c:v>191.0936824711498</c:v>
                </c:pt>
                <c:pt idx="93">
                  <c:v>195.99573359024188</c:v>
                </c:pt>
                <c:pt idx="94">
                  <c:v>196.16637693014846</c:v>
                </c:pt>
                <c:pt idx="95">
                  <c:v>198.14180491568482</c:v>
                </c:pt>
                <c:pt idx="96">
                  <c:v>199.0606429195729</c:v>
                </c:pt>
                <c:pt idx="97">
                  <c:v>199.46012667087527</c:v>
                </c:pt>
                <c:pt idx="98">
                  <c:v>204.02408811971745</c:v>
                </c:pt>
                <c:pt idx="99">
                  <c:v>204.08528410963274</c:v>
                </c:pt>
                <c:pt idx="100">
                  <c:v>204.15488420136495</c:v>
                </c:pt>
                <c:pt idx="101">
                  <c:v>205.79263432442878</c:v>
                </c:pt>
                <c:pt idx="102">
                  <c:v>206.55134689037476</c:v>
                </c:pt>
                <c:pt idx="103">
                  <c:v>209.25834040206655</c:v>
                </c:pt>
                <c:pt idx="104">
                  <c:v>209.6277022650508</c:v>
                </c:pt>
                <c:pt idx="105">
                  <c:v>210.74312233027305</c:v>
                </c:pt>
                <c:pt idx="106">
                  <c:v>210.92781975736486</c:v>
                </c:pt>
                <c:pt idx="107">
                  <c:v>211.26906163414392</c:v>
                </c:pt>
                <c:pt idx="108">
                  <c:v>213.03167517048738</c:v>
                </c:pt>
                <c:pt idx="109">
                  <c:v>215.44159741936235</c:v>
                </c:pt>
                <c:pt idx="110">
                  <c:v>216.58422824371996</c:v>
                </c:pt>
                <c:pt idx="111">
                  <c:v>217.93380997510187</c:v>
                </c:pt>
                <c:pt idx="112">
                  <c:v>218.61570720093428</c:v>
                </c:pt>
                <c:pt idx="113">
                  <c:v>222.22896675748598</c:v>
                </c:pt>
                <c:pt idx="114">
                  <c:v>224.27460001974848</c:v>
                </c:pt>
                <c:pt idx="115">
                  <c:v>224.38523720694005</c:v>
                </c:pt>
                <c:pt idx="116">
                  <c:v>226.09142436849174</c:v>
                </c:pt>
                <c:pt idx="117">
                  <c:v>227.01327411573857</c:v>
                </c:pt>
                <c:pt idx="118">
                  <c:v>227.73775975282382</c:v>
                </c:pt>
                <c:pt idx="119">
                  <c:v>233.18108620656258</c:v>
                </c:pt>
                <c:pt idx="120">
                  <c:v>238.05070843962417</c:v>
                </c:pt>
                <c:pt idx="121">
                  <c:v>241.60476933857004</c:v>
                </c:pt>
                <c:pt idx="122">
                  <c:v>243.02707816649982</c:v>
                </c:pt>
                <c:pt idx="123">
                  <c:v>245.36742793325999</c:v>
                </c:pt>
                <c:pt idx="124">
                  <c:v>247.29710309204128</c:v>
                </c:pt>
                <c:pt idx="125">
                  <c:v>250.76668601315504</c:v>
                </c:pt>
                <c:pt idx="126">
                  <c:v>253.21983352654456</c:v>
                </c:pt>
                <c:pt idx="127">
                  <c:v>264.94054712114524</c:v>
                </c:pt>
                <c:pt idx="128">
                  <c:v>265.80771117327015</c:v>
                </c:pt>
                <c:pt idx="129">
                  <c:v>266.88430921207021</c:v>
                </c:pt>
                <c:pt idx="130">
                  <c:v>267.00283271772435</c:v>
                </c:pt>
                <c:pt idx="131">
                  <c:v>268.1583735132632</c:v>
                </c:pt>
                <c:pt idx="132">
                  <c:v>268.16906912913447</c:v>
                </c:pt>
                <c:pt idx="133">
                  <c:v>271.14683521901208</c:v>
                </c:pt>
                <c:pt idx="134">
                  <c:v>271.60405585664938</c:v>
                </c:pt>
                <c:pt idx="135">
                  <c:v>271.65721022801193</c:v>
                </c:pt>
                <c:pt idx="136">
                  <c:v>273.16709206771333</c:v>
                </c:pt>
                <c:pt idx="137">
                  <c:v>274.5621548727151</c:v>
                </c:pt>
                <c:pt idx="138">
                  <c:v>277.39025453380071</c:v>
                </c:pt>
                <c:pt idx="139">
                  <c:v>277.83418061497565</c:v>
                </c:pt>
                <c:pt idx="140">
                  <c:v>278.00416306273701</c:v>
                </c:pt>
                <c:pt idx="141">
                  <c:v>278.0214638166662</c:v>
                </c:pt>
                <c:pt idx="142">
                  <c:v>279.59979560808489</c:v>
                </c:pt>
                <c:pt idx="143">
                  <c:v>282.26373223944222</c:v>
                </c:pt>
                <c:pt idx="144">
                  <c:v>282.83789840254377</c:v>
                </c:pt>
                <c:pt idx="145">
                  <c:v>284.30199630291946</c:v>
                </c:pt>
                <c:pt idx="146">
                  <c:v>284.3709351779255</c:v>
                </c:pt>
                <c:pt idx="147">
                  <c:v>288.78831587921457</c:v>
                </c:pt>
                <c:pt idx="148">
                  <c:v>289.89767050274287</c:v>
                </c:pt>
                <c:pt idx="149">
                  <c:v>290.06662789681673</c:v>
                </c:pt>
                <c:pt idx="150">
                  <c:v>297.17688169310094</c:v>
                </c:pt>
                <c:pt idx="151">
                  <c:v>297.40070798696001</c:v>
                </c:pt>
                <c:pt idx="152">
                  <c:v>297.56108723754164</c:v>
                </c:pt>
                <c:pt idx="153">
                  <c:v>302.15665835164407</c:v>
                </c:pt>
                <c:pt idx="154">
                  <c:v>305.73225063219087</c:v>
                </c:pt>
                <c:pt idx="155">
                  <c:v>306.30862614057406</c:v>
                </c:pt>
                <c:pt idx="156">
                  <c:v>308.19367780876331</c:v>
                </c:pt>
                <c:pt idx="157">
                  <c:v>314.97671556602421</c:v>
                </c:pt>
                <c:pt idx="158">
                  <c:v>315.36493224075969</c:v>
                </c:pt>
                <c:pt idx="159">
                  <c:v>315.41491545466511</c:v>
                </c:pt>
                <c:pt idx="160">
                  <c:v>316.15559234539279</c:v>
                </c:pt>
                <c:pt idx="161">
                  <c:v>320.61111369982552</c:v>
                </c:pt>
                <c:pt idx="162">
                  <c:v>323.90112684802659</c:v>
                </c:pt>
                <c:pt idx="163">
                  <c:v>326.7241770256839</c:v>
                </c:pt>
                <c:pt idx="164">
                  <c:v>328.46399679234298</c:v>
                </c:pt>
                <c:pt idx="165">
                  <c:v>328.7733503938648</c:v>
                </c:pt>
                <c:pt idx="166">
                  <c:v>328.87500038380227</c:v>
                </c:pt>
                <c:pt idx="167">
                  <c:v>330.1143167801149</c:v>
                </c:pt>
                <c:pt idx="168">
                  <c:v>330.51690112229301</c:v>
                </c:pt>
                <c:pt idx="169">
                  <c:v>334.49476338518576</c:v>
                </c:pt>
                <c:pt idx="170">
                  <c:v>334.56887152311725</c:v>
                </c:pt>
                <c:pt idx="171">
                  <c:v>337.51393652423826</c:v>
                </c:pt>
                <c:pt idx="172">
                  <c:v>337.53794169005238</c:v>
                </c:pt>
                <c:pt idx="173">
                  <c:v>338.33525615364988</c:v>
                </c:pt>
                <c:pt idx="174">
                  <c:v>338.60879015767495</c:v>
                </c:pt>
                <c:pt idx="175">
                  <c:v>339.85365124376165</c:v>
                </c:pt>
                <c:pt idx="176">
                  <c:v>345.82759859722859</c:v>
                </c:pt>
                <c:pt idx="177">
                  <c:v>346.60644178342648</c:v>
                </c:pt>
                <c:pt idx="178">
                  <c:v>348.66737347441341</c:v>
                </c:pt>
                <c:pt idx="179">
                  <c:v>351.69711738792381</c:v>
                </c:pt>
                <c:pt idx="180">
                  <c:v>352.02662866505517</c:v>
                </c:pt>
                <c:pt idx="181">
                  <c:v>352.17382230053551</c:v>
                </c:pt>
                <c:pt idx="182">
                  <c:v>352.5884562983818</c:v>
                </c:pt>
                <c:pt idx="183">
                  <c:v>354.70704694353316</c:v>
                </c:pt>
                <c:pt idx="184">
                  <c:v>355.14239513967192</c:v>
                </c:pt>
                <c:pt idx="185">
                  <c:v>356.27708983430813</c:v>
                </c:pt>
                <c:pt idx="186">
                  <c:v>360.87353518601145</c:v>
                </c:pt>
                <c:pt idx="187">
                  <c:v>368.27957825377246</c:v>
                </c:pt>
                <c:pt idx="188">
                  <c:v>373.50759496782058</c:v>
                </c:pt>
                <c:pt idx="189">
                  <c:v>373.61879230169069</c:v>
                </c:pt>
                <c:pt idx="190">
                  <c:v>375.60575297129759</c:v>
                </c:pt>
                <c:pt idx="191">
                  <c:v>376.78121681452302</c:v>
                </c:pt>
                <c:pt idx="192">
                  <c:v>380.2413626057392</c:v>
                </c:pt>
                <c:pt idx="193">
                  <c:v>383.23191704802912</c:v>
                </c:pt>
                <c:pt idx="194">
                  <c:v>388.6931274423776</c:v>
                </c:pt>
                <c:pt idx="195">
                  <c:v>395.44494082265908</c:v>
                </c:pt>
                <c:pt idx="196">
                  <c:v>397.40443629916228</c:v>
                </c:pt>
                <c:pt idx="197">
                  <c:v>397.74812386943574</c:v>
                </c:pt>
                <c:pt idx="198">
                  <c:v>401.102432791127</c:v>
                </c:pt>
                <c:pt idx="199">
                  <c:v>404.25738275416717</c:v>
                </c:pt>
                <c:pt idx="200">
                  <c:v>415.17621862512368</c:v>
                </c:pt>
                <c:pt idx="201">
                  <c:v>415.19412268299936</c:v>
                </c:pt>
                <c:pt idx="202">
                  <c:v>415.62051778707087</c:v>
                </c:pt>
                <c:pt idx="203">
                  <c:v>415.88650648328326</c:v>
                </c:pt>
                <c:pt idx="204">
                  <c:v>416.63858732209309</c:v>
                </c:pt>
                <c:pt idx="205">
                  <c:v>422.76094126401046</c:v>
                </c:pt>
                <c:pt idx="206">
                  <c:v>424.0007712317647</c:v>
                </c:pt>
                <c:pt idx="207">
                  <c:v>426.18763490830082</c:v>
                </c:pt>
                <c:pt idx="208">
                  <c:v>427.55916754723188</c:v>
                </c:pt>
                <c:pt idx="209">
                  <c:v>428.31211210464039</c:v>
                </c:pt>
                <c:pt idx="210">
                  <c:v>429.29738563417487</c:v>
                </c:pt>
                <c:pt idx="211">
                  <c:v>431.20548542607798</c:v>
                </c:pt>
                <c:pt idx="212">
                  <c:v>432.11127078568057</c:v>
                </c:pt>
                <c:pt idx="213">
                  <c:v>435.49799353960373</c:v>
                </c:pt>
                <c:pt idx="214">
                  <c:v>436.10280561362225</c:v>
                </c:pt>
                <c:pt idx="215">
                  <c:v>436.67282181060386</c:v>
                </c:pt>
                <c:pt idx="216">
                  <c:v>443.00017721482124</c:v>
                </c:pt>
                <c:pt idx="217">
                  <c:v>445.82038724099294</c:v>
                </c:pt>
                <c:pt idx="218">
                  <c:v>446.51153931329424</c:v>
                </c:pt>
                <c:pt idx="219">
                  <c:v>447.79732242825924</c:v>
                </c:pt>
                <c:pt idx="220">
                  <c:v>448.40753744811525</c:v>
                </c:pt>
                <c:pt idx="221">
                  <c:v>448.49997921088135</c:v>
                </c:pt>
                <c:pt idx="222">
                  <c:v>449.95336233400582</c:v>
                </c:pt>
                <c:pt idx="223">
                  <c:v>450.09954806180747</c:v>
                </c:pt>
                <c:pt idx="224">
                  <c:v>450.41137774015834</c:v>
                </c:pt>
                <c:pt idx="225">
                  <c:v>450.51844921089787</c:v>
                </c:pt>
                <c:pt idx="226">
                  <c:v>450.61920602313188</c:v>
                </c:pt>
                <c:pt idx="227">
                  <c:v>450.87015401578498</c:v>
                </c:pt>
                <c:pt idx="228">
                  <c:v>452.50386341276732</c:v>
                </c:pt>
                <c:pt idx="229">
                  <c:v>452.57695781712039</c:v>
                </c:pt>
                <c:pt idx="230">
                  <c:v>453.60658718727979</c:v>
                </c:pt>
                <c:pt idx="231">
                  <c:v>455.06389378641381</c:v>
                </c:pt>
                <c:pt idx="232">
                  <c:v>455.07660509677947</c:v>
                </c:pt>
                <c:pt idx="233">
                  <c:v>455.36421942827781</c:v>
                </c:pt>
                <c:pt idx="234">
                  <c:v>456.28721952277175</c:v>
                </c:pt>
                <c:pt idx="235">
                  <c:v>458.88268133888425</c:v>
                </c:pt>
                <c:pt idx="236">
                  <c:v>459.97780219611849</c:v>
                </c:pt>
                <c:pt idx="237">
                  <c:v>460.58735963152833</c:v>
                </c:pt>
                <c:pt idx="238">
                  <c:v>461.92183202274742</c:v>
                </c:pt>
                <c:pt idx="239">
                  <c:v>462.12324725133163</c:v>
                </c:pt>
                <c:pt idx="240">
                  <c:v>462.42474989937335</c:v>
                </c:pt>
                <c:pt idx="241">
                  <c:v>467.39473125782729</c:v>
                </c:pt>
                <c:pt idx="242">
                  <c:v>478.33153550199467</c:v>
                </c:pt>
                <c:pt idx="243">
                  <c:v>479.97041150322417</c:v>
                </c:pt>
                <c:pt idx="244">
                  <c:v>482.54798929523423</c:v>
                </c:pt>
                <c:pt idx="245">
                  <c:v>483.58405512869405</c:v>
                </c:pt>
                <c:pt idx="246">
                  <c:v>484.45401936502134</c:v>
                </c:pt>
                <c:pt idx="247">
                  <c:v>485.7367813318225</c:v>
                </c:pt>
                <c:pt idx="248">
                  <c:v>486.9011337369119</c:v>
                </c:pt>
                <c:pt idx="249">
                  <c:v>487.53633203913148</c:v>
                </c:pt>
                <c:pt idx="250">
                  <c:v>491.29614201878053</c:v>
                </c:pt>
                <c:pt idx="251">
                  <c:v>494.4349806178783</c:v>
                </c:pt>
                <c:pt idx="252">
                  <c:v>495.28101487543387</c:v>
                </c:pt>
                <c:pt idx="253">
                  <c:v>496.0354276719163</c:v>
                </c:pt>
                <c:pt idx="254">
                  <c:v>496.41307730401996</c:v>
                </c:pt>
                <c:pt idx="255">
                  <c:v>496.88694140313481</c:v>
                </c:pt>
                <c:pt idx="256">
                  <c:v>497.3618202871171</c:v>
                </c:pt>
                <c:pt idx="257">
                  <c:v>499.47763745446889</c:v>
                </c:pt>
                <c:pt idx="258">
                  <c:v>499.4913677200351</c:v>
                </c:pt>
                <c:pt idx="259">
                  <c:v>499.66376409456979</c:v>
                </c:pt>
                <c:pt idx="260">
                  <c:v>503.02406250802835</c:v>
                </c:pt>
                <c:pt idx="261">
                  <c:v>508.68089672342541</c:v>
                </c:pt>
                <c:pt idx="262">
                  <c:v>512.54210393483424</c:v>
                </c:pt>
                <c:pt idx="263">
                  <c:v>515.86883412780014</c:v>
                </c:pt>
                <c:pt idx="264">
                  <c:v>518.41415928912704</c:v>
                </c:pt>
                <c:pt idx="265">
                  <c:v>520.37586821577679</c:v>
                </c:pt>
                <c:pt idx="266">
                  <c:v>521.82111170823384</c:v>
                </c:pt>
                <c:pt idx="267">
                  <c:v>523.49164550822684</c:v>
                </c:pt>
                <c:pt idx="268">
                  <c:v>524.71097951577099</c:v>
                </c:pt>
                <c:pt idx="269">
                  <c:v>526.75307921702495</c:v>
                </c:pt>
                <c:pt idx="270">
                  <c:v>528.86244018045704</c:v>
                </c:pt>
                <c:pt idx="271">
                  <c:v>528.97458444128563</c:v>
                </c:pt>
                <c:pt idx="272">
                  <c:v>530.6204415504468</c:v>
                </c:pt>
                <c:pt idx="273">
                  <c:v>534.74820919256047</c:v>
                </c:pt>
                <c:pt idx="274">
                  <c:v>540.67089508906884</c:v>
                </c:pt>
                <c:pt idx="275">
                  <c:v>542.73421145983468</c:v>
                </c:pt>
                <c:pt idx="276">
                  <c:v>545.33372032131979</c:v>
                </c:pt>
                <c:pt idx="277">
                  <c:v>546.7334034486579</c:v>
                </c:pt>
                <c:pt idx="278">
                  <c:v>548.74166275763298</c:v>
                </c:pt>
                <c:pt idx="279">
                  <c:v>550.09582463169806</c:v>
                </c:pt>
                <c:pt idx="280">
                  <c:v>552.96906861773482</c:v>
                </c:pt>
                <c:pt idx="281">
                  <c:v>553.37966207420141</c:v>
                </c:pt>
                <c:pt idx="282">
                  <c:v>553.97659243085002</c:v>
                </c:pt>
                <c:pt idx="283">
                  <c:v>555.22864322513806</c:v>
                </c:pt>
                <c:pt idx="284">
                  <c:v>555.31803149522113</c:v>
                </c:pt>
                <c:pt idx="285">
                  <c:v>555.53178299370825</c:v>
                </c:pt>
                <c:pt idx="286">
                  <c:v>562.09746807831652</c:v>
                </c:pt>
                <c:pt idx="287">
                  <c:v>562.57664997933057</c:v>
                </c:pt>
                <c:pt idx="288">
                  <c:v>565.60409790235178</c:v>
                </c:pt>
                <c:pt idx="289">
                  <c:v>566.08582362985362</c:v>
                </c:pt>
                <c:pt idx="290">
                  <c:v>568.20873655519028</c:v>
                </c:pt>
                <c:pt idx="291">
                  <c:v>572.96858634788191</c:v>
                </c:pt>
                <c:pt idx="292">
                  <c:v>572.98209728372046</c:v>
                </c:pt>
                <c:pt idx="293">
                  <c:v>573.38327012573711</c:v>
                </c:pt>
                <c:pt idx="294">
                  <c:v>578.60102496023626</c:v>
                </c:pt>
                <c:pt idx="295">
                  <c:v>580.10530910802925</c:v>
                </c:pt>
                <c:pt idx="296">
                  <c:v>583.87189276566517</c:v>
                </c:pt>
                <c:pt idx="297">
                  <c:v>584.03402778476368</c:v>
                </c:pt>
                <c:pt idx="298">
                  <c:v>585.11588062839189</c:v>
                </c:pt>
                <c:pt idx="299">
                  <c:v>586.54512799811448</c:v>
                </c:pt>
                <c:pt idx="300">
                  <c:v>589.24406128908879</c:v>
                </c:pt>
                <c:pt idx="301">
                  <c:v>589.79750747124592</c:v>
                </c:pt>
                <c:pt idx="302">
                  <c:v>590.03262488553901</c:v>
                </c:pt>
                <c:pt idx="303">
                  <c:v>596.001003354511</c:v>
                </c:pt>
                <c:pt idx="304">
                  <c:v>597.64761027912198</c:v>
                </c:pt>
                <c:pt idx="305">
                  <c:v>600.08951319230141</c:v>
                </c:pt>
                <c:pt idx="306">
                  <c:v>601.07503975380928</c:v>
                </c:pt>
                <c:pt idx="307">
                  <c:v>601.74049030608353</c:v>
                </c:pt>
                <c:pt idx="308">
                  <c:v>602.47966969759011</c:v>
                </c:pt>
                <c:pt idx="309">
                  <c:v>603.04985777223044</c:v>
                </c:pt>
                <c:pt idx="310">
                  <c:v>608.10670154496415</c:v>
                </c:pt>
                <c:pt idx="311">
                  <c:v>609.9294018328884</c:v>
                </c:pt>
                <c:pt idx="312">
                  <c:v>610.83920242449335</c:v>
                </c:pt>
                <c:pt idx="313">
                  <c:v>613.51930821635722</c:v>
                </c:pt>
                <c:pt idx="314">
                  <c:v>616.7259484724259</c:v>
                </c:pt>
                <c:pt idx="315">
                  <c:v>624.51890286584683</c:v>
                </c:pt>
                <c:pt idx="316">
                  <c:v>629.05636614412913</c:v>
                </c:pt>
                <c:pt idx="317">
                  <c:v>631.37086596609265</c:v>
                </c:pt>
                <c:pt idx="318">
                  <c:v>632.34305562737632</c:v>
                </c:pt>
                <c:pt idx="319">
                  <c:v>633.45253265837948</c:v>
                </c:pt>
                <c:pt idx="320">
                  <c:v>635.88020614344339</c:v>
                </c:pt>
                <c:pt idx="321">
                  <c:v>638.84364903448898</c:v>
                </c:pt>
                <c:pt idx="322">
                  <c:v>639.89304591908592</c:v>
                </c:pt>
                <c:pt idx="323">
                  <c:v>640.64708157708878</c:v>
                </c:pt>
                <c:pt idx="324">
                  <c:v>640.88620504487096</c:v>
                </c:pt>
                <c:pt idx="325">
                  <c:v>643.29808121697533</c:v>
                </c:pt>
                <c:pt idx="326">
                  <c:v>643.75374181153097</c:v>
                </c:pt>
                <c:pt idx="327">
                  <c:v>644.06198995410659</c:v>
                </c:pt>
                <c:pt idx="328">
                  <c:v>645.92997983531382</c:v>
                </c:pt>
                <c:pt idx="329">
                  <c:v>649.62189315693843</c:v>
                </c:pt>
                <c:pt idx="330">
                  <c:v>653.22552185299719</c:v>
                </c:pt>
                <c:pt idx="331">
                  <c:v>653.62539918177299</c:v>
                </c:pt>
                <c:pt idx="332">
                  <c:v>653.67773574099124</c:v>
                </c:pt>
                <c:pt idx="333">
                  <c:v>653.98963973085483</c:v>
                </c:pt>
                <c:pt idx="334">
                  <c:v>656.80893513299611</c:v>
                </c:pt>
                <c:pt idx="335">
                  <c:v>657.60503433353028</c:v>
                </c:pt>
                <c:pt idx="336">
                  <c:v>658.09993293864295</c:v>
                </c:pt>
                <c:pt idx="337">
                  <c:v>660.96689222784005</c:v>
                </c:pt>
                <c:pt idx="338">
                  <c:v>664.12795017891722</c:v>
                </c:pt>
                <c:pt idx="339">
                  <c:v>666.28730649971772</c:v>
                </c:pt>
                <c:pt idx="340">
                  <c:v>670.65250562498841</c:v>
                </c:pt>
                <c:pt idx="341">
                  <c:v>673.82428234766337</c:v>
                </c:pt>
                <c:pt idx="342">
                  <c:v>677.51694285817109</c:v>
                </c:pt>
                <c:pt idx="343">
                  <c:v>678.22537782512188</c:v>
                </c:pt>
                <c:pt idx="344">
                  <c:v>679.55763624027156</c:v>
                </c:pt>
                <c:pt idx="345">
                  <c:v>681.92073773530115</c:v>
                </c:pt>
                <c:pt idx="346">
                  <c:v>685.37493407725151</c:v>
                </c:pt>
                <c:pt idx="347">
                  <c:v>689.90242370807539</c:v>
                </c:pt>
                <c:pt idx="348">
                  <c:v>691.93826516286879</c:v>
                </c:pt>
                <c:pt idx="349">
                  <c:v>694.06595655662898</c:v>
                </c:pt>
                <c:pt idx="350">
                  <c:v>695.7598996095013</c:v>
                </c:pt>
                <c:pt idx="351">
                  <c:v>698.68663657832656</c:v>
                </c:pt>
                <c:pt idx="352">
                  <c:v>700.75853965599151</c:v>
                </c:pt>
                <c:pt idx="353">
                  <c:v>701.32923524338878</c:v>
                </c:pt>
                <c:pt idx="354">
                  <c:v>701.43917114764815</c:v>
                </c:pt>
                <c:pt idx="355">
                  <c:v>701.58627514325451</c:v>
                </c:pt>
                <c:pt idx="356">
                  <c:v>701.78130784403743</c:v>
                </c:pt>
                <c:pt idx="357">
                  <c:v>701.9543985504032</c:v>
                </c:pt>
                <c:pt idx="358">
                  <c:v>704.01289847923954</c:v>
                </c:pt>
                <c:pt idx="359">
                  <c:v>704.21923230570485</c:v>
                </c:pt>
                <c:pt idx="360">
                  <c:v>707.07349176543164</c:v>
                </c:pt>
                <c:pt idx="361">
                  <c:v>707.26214274522056</c:v>
                </c:pt>
                <c:pt idx="362">
                  <c:v>708.27207105533262</c:v>
                </c:pt>
                <c:pt idx="363">
                  <c:v>709.35265540855835</c:v>
                </c:pt>
                <c:pt idx="364">
                  <c:v>709.52633998141232</c:v>
                </c:pt>
                <c:pt idx="365">
                  <c:v>710.14717769730476</c:v>
                </c:pt>
                <c:pt idx="366">
                  <c:v>711.05903119394225</c:v>
                </c:pt>
                <c:pt idx="367">
                  <c:v>711.59959426993294</c:v>
                </c:pt>
                <c:pt idx="368">
                  <c:v>713.19884554737382</c:v>
                </c:pt>
                <c:pt idx="369">
                  <c:v>713.47471948968257</c:v>
                </c:pt>
                <c:pt idx="370">
                  <c:v>713.64327103491178</c:v>
                </c:pt>
                <c:pt idx="371">
                  <c:v>715.91001939454532</c:v>
                </c:pt>
                <c:pt idx="372">
                  <c:v>717.55216117227405</c:v>
                </c:pt>
                <c:pt idx="373">
                  <c:v>719.73174402664711</c:v>
                </c:pt>
                <c:pt idx="374">
                  <c:v>719.86950815711805</c:v>
                </c:pt>
                <c:pt idx="375">
                  <c:v>724.37728083553111</c:v>
                </c:pt>
                <c:pt idx="376">
                  <c:v>724.83095009115857</c:v>
                </c:pt>
                <c:pt idx="377">
                  <c:v>729.46543033117814</c:v>
                </c:pt>
                <c:pt idx="378">
                  <c:v>729.49647946458504</c:v>
                </c:pt>
                <c:pt idx="379">
                  <c:v>734.21904312758488</c:v>
                </c:pt>
                <c:pt idx="380">
                  <c:v>735.80687300218324</c:v>
                </c:pt>
                <c:pt idx="381">
                  <c:v>738.26495206352752</c:v>
                </c:pt>
                <c:pt idx="382">
                  <c:v>738.72839830048633</c:v>
                </c:pt>
                <c:pt idx="383">
                  <c:v>741.99255104922531</c:v>
                </c:pt>
                <c:pt idx="384">
                  <c:v>742.96718000519388</c:v>
                </c:pt>
                <c:pt idx="385">
                  <c:v>745.53891016807029</c:v>
                </c:pt>
                <c:pt idx="386">
                  <c:v>746.07659085745183</c:v>
                </c:pt>
                <c:pt idx="387">
                  <c:v>748.99840858179732</c:v>
                </c:pt>
                <c:pt idx="388">
                  <c:v>750.86796947073299</c:v>
                </c:pt>
                <c:pt idx="389">
                  <c:v>752.25918320622748</c:v>
                </c:pt>
                <c:pt idx="390">
                  <c:v>752.70912464423895</c:v>
                </c:pt>
                <c:pt idx="391">
                  <c:v>756.96744248756249</c:v>
                </c:pt>
                <c:pt idx="392">
                  <c:v>761.43655527292333</c:v>
                </c:pt>
                <c:pt idx="393">
                  <c:v>762.96239336773033</c:v>
                </c:pt>
                <c:pt idx="394">
                  <c:v>763.04682342554213</c:v>
                </c:pt>
                <c:pt idx="395">
                  <c:v>764.57316235634187</c:v>
                </c:pt>
                <c:pt idx="396">
                  <c:v>768.78005341418202</c:v>
                </c:pt>
                <c:pt idx="397">
                  <c:v>770.44045995924637</c:v>
                </c:pt>
                <c:pt idx="398">
                  <c:v>771.10629152716604</c:v>
                </c:pt>
                <c:pt idx="399">
                  <c:v>775.65858188431355</c:v>
                </c:pt>
                <c:pt idx="400">
                  <c:v>777.4709933318253</c:v>
                </c:pt>
                <c:pt idx="401">
                  <c:v>784.08554569016974</c:v>
                </c:pt>
                <c:pt idx="402">
                  <c:v>784.74851818950037</c:v>
                </c:pt>
                <c:pt idx="403">
                  <c:v>786.19186938559267</c:v>
                </c:pt>
                <c:pt idx="404">
                  <c:v>786.47174135580997</c:v>
                </c:pt>
                <c:pt idx="405">
                  <c:v>788.39112369777786</c:v>
                </c:pt>
                <c:pt idx="406">
                  <c:v>788.47442983594476</c:v>
                </c:pt>
                <c:pt idx="407">
                  <c:v>789.65670313782744</c:v>
                </c:pt>
                <c:pt idx="408">
                  <c:v>791.49171733329683</c:v>
                </c:pt>
                <c:pt idx="409">
                  <c:v>792.59478501832314</c:v>
                </c:pt>
                <c:pt idx="410">
                  <c:v>792.72304848473482</c:v>
                </c:pt>
                <c:pt idx="411">
                  <c:v>797.92433963941255</c:v>
                </c:pt>
                <c:pt idx="412">
                  <c:v>798.07943642300393</c:v>
                </c:pt>
                <c:pt idx="413">
                  <c:v>801.29580776576859</c:v>
                </c:pt>
                <c:pt idx="414">
                  <c:v>813.35813815496488</c:v>
                </c:pt>
                <c:pt idx="415">
                  <c:v>813.72735934333423</c:v>
                </c:pt>
                <c:pt idx="416">
                  <c:v>814.84243036025111</c:v>
                </c:pt>
                <c:pt idx="417">
                  <c:v>822.3008066204352</c:v>
                </c:pt>
                <c:pt idx="418">
                  <c:v>825.70387326276443</c:v>
                </c:pt>
                <c:pt idx="419">
                  <c:v>829.80018756377581</c:v>
                </c:pt>
                <c:pt idx="420">
                  <c:v>830.08808979062871</c:v>
                </c:pt>
                <c:pt idx="421">
                  <c:v>833.65561396533792</c:v>
                </c:pt>
                <c:pt idx="422">
                  <c:v>835.17773254716155</c:v>
                </c:pt>
                <c:pt idx="423">
                  <c:v>844.44153640004765</c:v>
                </c:pt>
                <c:pt idx="424">
                  <c:v>846.67234040738606</c:v>
                </c:pt>
                <c:pt idx="425">
                  <c:v>847.12143566140151</c:v>
                </c:pt>
                <c:pt idx="426">
                  <c:v>847.78683685759654</c:v>
                </c:pt>
                <c:pt idx="427">
                  <c:v>854.47215411685909</c:v>
                </c:pt>
                <c:pt idx="428">
                  <c:v>854.84808728216615</c:v>
                </c:pt>
                <c:pt idx="429">
                  <c:v>856.88598305457379</c:v>
                </c:pt>
                <c:pt idx="430">
                  <c:v>857.92235436490364</c:v>
                </c:pt>
                <c:pt idx="431">
                  <c:v>858.99369463780874</c:v>
                </c:pt>
                <c:pt idx="432">
                  <c:v>859.33197560850056</c:v>
                </c:pt>
                <c:pt idx="433">
                  <c:v>860.5652773601131</c:v>
                </c:pt>
                <c:pt idx="434">
                  <c:v>862.45616145404711</c:v>
                </c:pt>
                <c:pt idx="435">
                  <c:v>866.5582498336812</c:v>
                </c:pt>
                <c:pt idx="436">
                  <c:v>868.54884002584004</c:v>
                </c:pt>
                <c:pt idx="437">
                  <c:v>869.08347653383726</c:v>
                </c:pt>
                <c:pt idx="438">
                  <c:v>871.21707679833469</c:v>
                </c:pt>
                <c:pt idx="439">
                  <c:v>878.53241020232929</c:v>
                </c:pt>
                <c:pt idx="440">
                  <c:v>879.87255625002103</c:v>
                </c:pt>
                <c:pt idx="441">
                  <c:v>881.68305457048086</c:v>
                </c:pt>
                <c:pt idx="442">
                  <c:v>881.74237292695545</c:v>
                </c:pt>
                <c:pt idx="443">
                  <c:v>884.02376971532738</c:v>
                </c:pt>
                <c:pt idx="444">
                  <c:v>885.12193893471124</c:v>
                </c:pt>
                <c:pt idx="445">
                  <c:v>886.11003929615481</c:v>
                </c:pt>
                <c:pt idx="446">
                  <c:v>888.67679395415144</c:v>
                </c:pt>
                <c:pt idx="447">
                  <c:v>890.33246492551859</c:v>
                </c:pt>
                <c:pt idx="448">
                  <c:v>895.7998208688133</c:v>
                </c:pt>
                <c:pt idx="449">
                  <c:v>896.63691846183394</c:v>
                </c:pt>
                <c:pt idx="450">
                  <c:v>903.35092312727454</c:v>
                </c:pt>
                <c:pt idx="451">
                  <c:v>903.45374182718979</c:v>
                </c:pt>
                <c:pt idx="452">
                  <c:v>905.78211832783916</c:v>
                </c:pt>
                <c:pt idx="453">
                  <c:v>905.97846207494956</c:v>
                </c:pt>
                <c:pt idx="454">
                  <c:v>906.50947783635036</c:v>
                </c:pt>
                <c:pt idx="455">
                  <c:v>908.76969886671122</c:v>
                </c:pt>
                <c:pt idx="456">
                  <c:v>908.80117637737487</c:v>
                </c:pt>
                <c:pt idx="457">
                  <c:v>912.49358143184577</c:v>
                </c:pt>
                <c:pt idx="458">
                  <c:v>913.40293901739687</c:v>
                </c:pt>
                <c:pt idx="459">
                  <c:v>914.74194969759208</c:v>
                </c:pt>
                <c:pt idx="460">
                  <c:v>914.93795727134443</c:v>
                </c:pt>
                <c:pt idx="461">
                  <c:v>915.25375439681648</c:v>
                </c:pt>
                <c:pt idx="462">
                  <c:v>927.67916006313988</c:v>
                </c:pt>
                <c:pt idx="463">
                  <c:v>932.1009047932572</c:v>
                </c:pt>
                <c:pt idx="464">
                  <c:v>933.68686428807405</c:v>
                </c:pt>
                <c:pt idx="465">
                  <c:v>935.36856930723616</c:v>
                </c:pt>
                <c:pt idx="466">
                  <c:v>935.96848460735146</c:v>
                </c:pt>
                <c:pt idx="467">
                  <c:v>936.42468815803454</c:v>
                </c:pt>
                <c:pt idx="468">
                  <c:v>938.10613440926647</c:v>
                </c:pt>
                <c:pt idx="469">
                  <c:v>938.70865113154184</c:v>
                </c:pt>
                <c:pt idx="470">
                  <c:v>941.58153211955857</c:v>
                </c:pt>
                <c:pt idx="471">
                  <c:v>941.60763172428335</c:v>
                </c:pt>
                <c:pt idx="472">
                  <c:v>942.74813534925147</c:v>
                </c:pt>
                <c:pt idx="473">
                  <c:v>943.46142137317133</c:v>
                </c:pt>
                <c:pt idx="474">
                  <c:v>943.4674702313921</c:v>
                </c:pt>
                <c:pt idx="475">
                  <c:v>944.3698804398407</c:v>
                </c:pt>
                <c:pt idx="476">
                  <c:v>946.55112336248101</c:v>
                </c:pt>
                <c:pt idx="477">
                  <c:v>947.57253911705266</c:v>
                </c:pt>
                <c:pt idx="478">
                  <c:v>949.55552590365664</c:v>
                </c:pt>
                <c:pt idx="479">
                  <c:v>950.12730415836756</c:v>
                </c:pt>
                <c:pt idx="480">
                  <c:v>952.05862404915092</c:v>
                </c:pt>
                <c:pt idx="481">
                  <c:v>953.59509636892767</c:v>
                </c:pt>
                <c:pt idx="482">
                  <c:v>954.83514409157567</c:v>
                </c:pt>
                <c:pt idx="483">
                  <c:v>956.19282066137009</c:v>
                </c:pt>
                <c:pt idx="484">
                  <c:v>956.47759834680721</c:v>
                </c:pt>
                <c:pt idx="485">
                  <c:v>956.87432291303026</c:v>
                </c:pt>
                <c:pt idx="486">
                  <c:v>957.33187443977033</c:v>
                </c:pt>
                <c:pt idx="487">
                  <c:v>957.74097487074062</c:v>
                </c:pt>
                <c:pt idx="488">
                  <c:v>957.95541128962475</c:v>
                </c:pt>
                <c:pt idx="489">
                  <c:v>958.82370088699952</c:v>
                </c:pt>
                <c:pt idx="490">
                  <c:v>964.7085091474047</c:v>
                </c:pt>
                <c:pt idx="491">
                  <c:v>967.74283575820812</c:v>
                </c:pt>
                <c:pt idx="492">
                  <c:v>968.80491058414486</c:v>
                </c:pt>
                <c:pt idx="493">
                  <c:v>970.09598095781337</c:v>
                </c:pt>
                <c:pt idx="494">
                  <c:v>974.37550776438775</c:v>
                </c:pt>
                <c:pt idx="495">
                  <c:v>977.60544203162237</c:v>
                </c:pt>
                <c:pt idx="496">
                  <c:v>985.95938403096602</c:v>
                </c:pt>
                <c:pt idx="497">
                  <c:v>990.5754264510449</c:v>
                </c:pt>
                <c:pt idx="498">
                  <c:v>994.5576473928669</c:v>
                </c:pt>
                <c:pt idx="499">
                  <c:v>997.63514597977439</c:v>
                </c:pt>
                <c:pt idx="500">
                  <c:v>999.86386287183336</c:v>
                </c:pt>
                <c:pt idx="501">
                  <c:v>1000</c:v>
                </c:pt>
                <c:pt idx="502">
                  <c:v>0</c:v>
                </c:pt>
                <c:pt idx="503">
                  <c:v>0</c:v>
                </c:pt>
              </c:numCache>
            </c:numRef>
          </c:cat>
          <c:val>
            <c:numRef>
              <c:f>'test function'!$AL$6:$AL$509</c:f>
              <c:numCache>
                <c:formatCode>0.000</c:formatCode>
                <c:ptCount val="504"/>
                <c:pt idx="0" formatCode="General">
                  <c:v>0</c:v>
                </c:pt>
                <c:pt idx="1">
                  <c:v>-0.51789386472094867</c:v>
                </c:pt>
                <c:pt idx="2">
                  <c:v>-0.5177399995791282</c:v>
                </c:pt>
                <c:pt idx="3">
                  <c:v>-0.49005231831304596</c:v>
                </c:pt>
                <c:pt idx="4">
                  <c:v>-0.45597696477136307</c:v>
                </c:pt>
                <c:pt idx="5">
                  <c:v>-0.42139990395911875</c:v>
                </c:pt>
                <c:pt idx="6">
                  <c:v>-0.38170985912328859</c:v>
                </c:pt>
                <c:pt idx="7">
                  <c:v>-0.36065015135645029</c:v>
                </c:pt>
                <c:pt idx="8">
                  <c:v>-0.31469691581881176</c:v>
                </c:pt>
                <c:pt idx="9">
                  <c:v>-0.27261880276598327</c:v>
                </c:pt>
                <c:pt idx="10">
                  <c:v>-0.19747305063095333</c:v>
                </c:pt>
                <c:pt idx="11">
                  <c:v>-7.9011453667639897E-2</c:v>
                </c:pt>
                <c:pt idx="12">
                  <c:v>1.6397721379696029E-2</c:v>
                </c:pt>
                <c:pt idx="13">
                  <c:v>3.89401504794743E-2</c:v>
                </c:pt>
                <c:pt idx="14">
                  <c:v>7.5609258093425391E-2</c:v>
                </c:pt>
                <c:pt idx="15">
                  <c:v>0.10257985867696498</c:v>
                </c:pt>
                <c:pt idx="16">
                  <c:v>0.14999195707538793</c:v>
                </c:pt>
                <c:pt idx="17">
                  <c:v>0.15215099608153726</c:v>
                </c:pt>
                <c:pt idx="18">
                  <c:v>0.15960228407230742</c:v>
                </c:pt>
                <c:pt idx="19">
                  <c:v>0.17406045737052411</c:v>
                </c:pt>
                <c:pt idx="20">
                  <c:v>0.18984478918368936</c:v>
                </c:pt>
                <c:pt idx="21">
                  <c:v>0.29599586766944846</c:v>
                </c:pt>
                <c:pt idx="22">
                  <c:v>0.30469908578553168</c:v>
                </c:pt>
                <c:pt idx="23">
                  <c:v>0.33880968722806554</c:v>
                </c:pt>
                <c:pt idx="24">
                  <c:v>0.3960403419021753</c:v>
                </c:pt>
                <c:pt idx="25">
                  <c:v>0.43018268656335867</c:v>
                </c:pt>
                <c:pt idx="26">
                  <c:v>0.60816687564785843</c:v>
                </c:pt>
                <c:pt idx="27">
                  <c:v>0.65023089115358057</c:v>
                </c:pt>
                <c:pt idx="28">
                  <c:v>0.665081194064439</c:v>
                </c:pt>
                <c:pt idx="29">
                  <c:v>0.71725527310888804</c:v>
                </c:pt>
                <c:pt idx="30">
                  <c:v>0.77770469702701539</c:v>
                </c:pt>
                <c:pt idx="31">
                  <c:v>0.84633268544065932</c:v>
                </c:pt>
                <c:pt idx="32">
                  <c:v>0.85903014413284817</c:v>
                </c:pt>
                <c:pt idx="33">
                  <c:v>0.90025620921836602</c:v>
                </c:pt>
                <c:pt idx="34">
                  <c:v>0.90195390064403191</c:v>
                </c:pt>
                <c:pt idx="35">
                  <c:v>0.90671267319436522</c:v>
                </c:pt>
                <c:pt idx="36">
                  <c:v>1.0240104585627687</c:v>
                </c:pt>
                <c:pt idx="37">
                  <c:v>1.0837122451158914</c:v>
                </c:pt>
                <c:pt idx="38">
                  <c:v>1.0878377365141008</c:v>
                </c:pt>
                <c:pt idx="39">
                  <c:v>1.0981388917618791</c:v>
                </c:pt>
                <c:pt idx="40">
                  <c:v>1.1220344655855961</c:v>
                </c:pt>
                <c:pt idx="41">
                  <c:v>1.1413172804121696</c:v>
                </c:pt>
                <c:pt idx="42">
                  <c:v>1.1768456313976381</c:v>
                </c:pt>
                <c:pt idx="43">
                  <c:v>1.2263187887293059</c:v>
                </c:pt>
                <c:pt idx="44">
                  <c:v>1.2455402612412132</c:v>
                </c:pt>
                <c:pt idx="45">
                  <c:v>1.2854439404132447</c:v>
                </c:pt>
                <c:pt idx="46">
                  <c:v>1.2860392930807292</c:v>
                </c:pt>
                <c:pt idx="47">
                  <c:v>1.304861442841849</c:v>
                </c:pt>
                <c:pt idx="48">
                  <c:v>1.3167243764779866</c:v>
                </c:pt>
                <c:pt idx="49">
                  <c:v>1.3599009510017808</c:v>
                </c:pt>
                <c:pt idx="50">
                  <c:v>1.3843667814543719</c:v>
                </c:pt>
                <c:pt idx="51">
                  <c:v>1.387552089295305</c:v>
                </c:pt>
                <c:pt idx="52">
                  <c:v>1.4320694334217932</c:v>
                </c:pt>
                <c:pt idx="53">
                  <c:v>1.4348039522246139</c:v>
                </c:pt>
                <c:pt idx="54">
                  <c:v>1.4434397319019256</c:v>
                </c:pt>
                <c:pt idx="55">
                  <c:v>1.4775419423669631</c:v>
                </c:pt>
                <c:pt idx="56">
                  <c:v>1.4787885744837699</c:v>
                </c:pt>
                <c:pt idx="57">
                  <c:v>1.4849349847273685</c:v>
                </c:pt>
                <c:pt idx="58">
                  <c:v>1.4921181469667071</c:v>
                </c:pt>
                <c:pt idx="59">
                  <c:v>1.5004804559352625</c:v>
                </c:pt>
                <c:pt idx="60">
                  <c:v>1.5218963218540711</c:v>
                </c:pt>
                <c:pt idx="61">
                  <c:v>1.5225713975477253</c:v>
                </c:pt>
                <c:pt idx="62">
                  <c:v>1.5257770582685466</c:v>
                </c:pt>
                <c:pt idx="63">
                  <c:v>1.5280423206318763</c:v>
                </c:pt>
                <c:pt idx="64">
                  <c:v>1.5323524446884658</c:v>
                </c:pt>
                <c:pt idx="65">
                  <c:v>1.536821469866255</c:v>
                </c:pt>
                <c:pt idx="66">
                  <c:v>1.5379702564988125</c:v>
                </c:pt>
                <c:pt idx="67">
                  <c:v>1.5377948253041405</c:v>
                </c:pt>
                <c:pt idx="68">
                  <c:v>1.5305192452517293</c:v>
                </c:pt>
                <c:pt idx="69">
                  <c:v>1.5104603800231207</c:v>
                </c:pt>
                <c:pt idx="70">
                  <c:v>1.5099683614031802</c:v>
                </c:pt>
                <c:pt idx="71">
                  <c:v>1.5004219720003524</c:v>
                </c:pt>
                <c:pt idx="72">
                  <c:v>1.4957907918697941</c:v>
                </c:pt>
                <c:pt idx="73">
                  <c:v>1.4917335461850547</c:v>
                </c:pt>
                <c:pt idx="74">
                  <c:v>1.4848926319916786</c:v>
                </c:pt>
                <c:pt idx="75">
                  <c:v>1.4764085857122633</c:v>
                </c:pt>
                <c:pt idx="76">
                  <c:v>1.4303078812919803</c:v>
                </c:pt>
                <c:pt idx="77">
                  <c:v>1.4145427110296456</c:v>
                </c:pt>
                <c:pt idx="78">
                  <c:v>1.3947461011705302</c:v>
                </c:pt>
                <c:pt idx="79">
                  <c:v>1.3819048473188655</c:v>
                </c:pt>
                <c:pt idx="80">
                  <c:v>1.3816711489952886</c:v>
                </c:pt>
                <c:pt idx="81">
                  <c:v>1.3426667597044748</c:v>
                </c:pt>
                <c:pt idx="82">
                  <c:v>1.3418302547303296</c:v>
                </c:pt>
                <c:pt idx="83">
                  <c:v>1.3100515089981726</c:v>
                </c:pt>
                <c:pt idx="84">
                  <c:v>1.2938627317999567</c:v>
                </c:pt>
                <c:pt idx="85">
                  <c:v>1.2885225570193364</c:v>
                </c:pt>
                <c:pt idx="86">
                  <c:v>1.2750415568687707</c:v>
                </c:pt>
                <c:pt idx="87">
                  <c:v>1.2625991571306687</c:v>
                </c:pt>
                <c:pt idx="88">
                  <c:v>1.245486747871112</c:v>
                </c:pt>
                <c:pt idx="89">
                  <c:v>1.2260984763480982</c:v>
                </c:pt>
                <c:pt idx="90">
                  <c:v>1.1689893323479952</c:v>
                </c:pt>
                <c:pt idx="91">
                  <c:v>1.1603926945605767</c:v>
                </c:pt>
                <c:pt idx="92">
                  <c:v>1.1395854696408967</c:v>
                </c:pt>
                <c:pt idx="93">
                  <c:v>1.0786391916228406</c:v>
                </c:pt>
                <c:pt idx="94">
                  <c:v>1.0764840817902752</c:v>
                </c:pt>
                <c:pt idx="95">
                  <c:v>1.0513962025627031</c:v>
                </c:pt>
                <c:pt idx="96">
                  <c:v>1.0396460726762009</c:v>
                </c:pt>
                <c:pt idx="97">
                  <c:v>1.0345228392484773</c:v>
                </c:pt>
                <c:pt idx="98">
                  <c:v>0.9754683792522334</c:v>
                </c:pt>
                <c:pt idx="99">
                  <c:v>0.97467111706730858</c:v>
                </c:pt>
                <c:pt idx="100">
                  <c:v>0.9737642243764304</c:v>
                </c:pt>
                <c:pt idx="101">
                  <c:v>0.9523844438945317</c:v>
                </c:pt>
                <c:pt idx="102">
                  <c:v>0.94245739810805196</c:v>
                </c:pt>
                <c:pt idx="103">
                  <c:v>0.90695774331570789</c:v>
                </c:pt>
                <c:pt idx="104">
                  <c:v>0.90210721234623525</c:v>
                </c:pt>
                <c:pt idx="105">
                  <c:v>0.88745442602744529</c:v>
                </c:pt>
                <c:pt idx="106">
                  <c:v>0.88502770685828747</c:v>
                </c:pt>
                <c:pt idx="107">
                  <c:v>0.88054404812336706</c:v>
                </c:pt>
                <c:pt idx="108">
                  <c:v>0.85738791047545559</c:v>
                </c:pt>
                <c:pt idx="109">
                  <c:v>0.82576664005556966</c:v>
                </c:pt>
                <c:pt idx="110">
                  <c:v>0.81080337634007504</c:v>
                </c:pt>
                <c:pt idx="111">
                  <c:v>0.79316467715374239</c:v>
                </c:pt>
                <c:pt idx="112">
                  <c:v>0.78426937520796169</c:v>
                </c:pt>
                <c:pt idx="113">
                  <c:v>0.73737489017668167</c:v>
                </c:pt>
                <c:pt idx="114">
                  <c:v>0.71104536994411704</c:v>
                </c:pt>
                <c:pt idx="115">
                  <c:v>0.70962660174743775</c:v>
                </c:pt>
                <c:pt idx="116">
                  <c:v>0.68782137169932023</c:v>
                </c:pt>
                <c:pt idx="117">
                  <c:v>0.67610128642863154</c:v>
                </c:pt>
                <c:pt idx="118">
                  <c:v>0.66692245706028386</c:v>
                </c:pt>
                <c:pt idx="119">
                  <c:v>0.59896496113925846</c:v>
                </c:pt>
                <c:pt idx="120">
                  <c:v>0.53989543268412321</c:v>
                </c:pt>
                <c:pt idx="121">
                  <c:v>0.49795615655383285</c:v>
                </c:pt>
                <c:pt idx="122">
                  <c:v>0.48146995292673633</c:v>
                </c:pt>
                <c:pt idx="123">
                  <c:v>0.45472914676019816</c:v>
                </c:pt>
                <c:pt idx="124">
                  <c:v>0.43305290430242227</c:v>
                </c:pt>
                <c:pt idx="125">
                  <c:v>0.3949533244619281</c:v>
                </c:pt>
                <c:pt idx="126">
                  <c:v>0.36871253012462102</c:v>
                </c:pt>
                <c:pt idx="127">
                  <c:v>0.25164380857214841</c:v>
                </c:pt>
                <c:pt idx="128">
                  <c:v>0.24353931559719655</c:v>
                </c:pt>
                <c:pt idx="129">
                  <c:v>0.2335851524836503</c:v>
                </c:pt>
                <c:pt idx="130">
                  <c:v>0.23249658216455416</c:v>
                </c:pt>
                <c:pt idx="131">
                  <c:v>0.22195937989733405</c:v>
                </c:pt>
                <c:pt idx="132">
                  <c:v>0.22186249012205028</c:v>
                </c:pt>
                <c:pt idx="133">
                  <c:v>0.19534490582418451</c:v>
                </c:pt>
                <c:pt idx="134">
                  <c:v>0.19135389792671642</c:v>
                </c:pt>
                <c:pt idx="135">
                  <c:v>0.19089131195309728</c:v>
                </c:pt>
                <c:pt idx="136">
                  <c:v>0.17787206064832306</c:v>
                </c:pt>
                <c:pt idx="137">
                  <c:v>0.16604979257979835</c:v>
                </c:pt>
                <c:pt idx="138">
                  <c:v>0.14269005480878771</c:v>
                </c:pt>
                <c:pt idx="139">
                  <c:v>0.13909667639873957</c:v>
                </c:pt>
                <c:pt idx="140">
                  <c:v>0.13772599668597341</c:v>
                </c:pt>
                <c:pt idx="141">
                  <c:v>0.13758665227165734</c:v>
                </c:pt>
                <c:pt idx="142">
                  <c:v>0.12500068732821656</c:v>
                </c:pt>
                <c:pt idx="143">
                  <c:v>0.10432103173638829</c:v>
                </c:pt>
                <c:pt idx="144">
                  <c:v>9.9955819387389511E-2</c:v>
                </c:pt>
                <c:pt idx="145">
                  <c:v>8.8971079911861928E-2</c:v>
                </c:pt>
                <c:pt idx="146">
                  <c:v>8.8459012701467721E-2</c:v>
                </c:pt>
                <c:pt idx="147">
                  <c:v>5.6604130851889423E-2</c:v>
                </c:pt>
                <c:pt idx="148">
                  <c:v>4.8896757257376855E-2</c:v>
                </c:pt>
                <c:pt idx="149">
                  <c:v>4.7733076940535746E-2</c:v>
                </c:pt>
                <c:pt idx="150">
                  <c:v>1.1491201297388898E-3</c:v>
                </c:pt>
                <c:pt idx="151">
                  <c:v>-2.4307578549453979E-4</c:v>
                </c:pt>
                <c:pt idx="152">
                  <c:v>-1.2379027777846829E-3</c:v>
                </c:pt>
                <c:pt idx="153">
                  <c:v>-2.8790014322892077E-2</c:v>
                </c:pt>
                <c:pt idx="154">
                  <c:v>-4.8983712471364349E-2</c:v>
                </c:pt>
                <c:pt idx="155">
                  <c:v>-5.2139854561994881E-2</c:v>
                </c:pt>
                <c:pt idx="156">
                  <c:v>-6.2273923183353119E-2</c:v>
                </c:pt>
                <c:pt idx="157">
                  <c:v>-9.6430048522400114E-2</c:v>
                </c:pt>
                <c:pt idx="158">
                  <c:v>-9.8279054851115433E-2</c:v>
                </c:pt>
                <c:pt idx="159">
                  <c:v>-9.8516304987863457E-2</c:v>
                </c:pt>
                <c:pt idx="160">
                  <c:v>-0.10201041237407615</c:v>
                </c:pt>
                <c:pt idx="161">
                  <c:v>-0.12219252411999371</c:v>
                </c:pt>
                <c:pt idx="162">
                  <c:v>-0.13620419338997625</c:v>
                </c:pt>
                <c:pt idx="163">
                  <c:v>-0.14764857651729191</c:v>
                </c:pt>
                <c:pt idx="164">
                  <c:v>-0.15444389302837447</c:v>
                </c:pt>
                <c:pt idx="165">
                  <c:v>-0.15563198272579726</c:v>
                </c:pt>
                <c:pt idx="166">
                  <c:v>-0.15602105767857744</c:v>
                </c:pt>
                <c:pt idx="167">
                  <c:v>-0.16071261187958275</c:v>
                </c:pt>
                <c:pt idx="168">
                  <c:v>-0.16221608443130808</c:v>
                </c:pt>
                <c:pt idx="169">
                  <c:v>-0.17654261338743815</c:v>
                </c:pt>
                <c:pt idx="170">
                  <c:v>-0.1768005741476566</c:v>
                </c:pt>
                <c:pt idx="171">
                  <c:v>-0.18679499455064619</c:v>
                </c:pt>
                <c:pt idx="172">
                  <c:v>-0.18687442621769357</c:v>
                </c:pt>
                <c:pt idx="173">
                  <c:v>-0.1894943224806207</c:v>
                </c:pt>
                <c:pt idx="174">
                  <c:v>-0.19038495069481431</c:v>
                </c:pt>
                <c:pt idx="175">
                  <c:v>-0.19438599140487334</c:v>
                </c:pt>
                <c:pt idx="176">
                  <c:v>-0.21243360963953073</c:v>
                </c:pt>
                <c:pt idx="177">
                  <c:v>-0.21465088221326933</c:v>
                </c:pt>
                <c:pt idx="178">
                  <c:v>-0.22037307360119485</c:v>
                </c:pt>
                <c:pt idx="179">
                  <c:v>-0.22841305051645744</c:v>
                </c:pt>
                <c:pt idx="180">
                  <c:v>-0.22926141850775128</c:v>
                </c:pt>
                <c:pt idx="181">
                  <c:v>-0.22963876211595302</c:v>
                </c:pt>
                <c:pt idx="182">
                  <c:v>-0.23069634007316164</c:v>
                </c:pt>
                <c:pt idx="183">
                  <c:v>-0.23597783606879297</c:v>
                </c:pt>
                <c:pt idx="184">
                  <c:v>-0.2370381484456443</c:v>
                </c:pt>
                <c:pt idx="185">
                  <c:v>-0.23976240943983385</c:v>
                </c:pt>
                <c:pt idx="186">
                  <c:v>-0.25023252379262129</c:v>
                </c:pt>
                <c:pt idx="187">
                  <c:v>-0.26530783461231877</c:v>
                </c:pt>
                <c:pt idx="188">
                  <c:v>-0.27472005166614277</c:v>
                </c:pt>
                <c:pt idx="189">
                  <c:v>-0.2749098444500202</c:v>
                </c:pt>
                <c:pt idx="190">
                  <c:v>-0.27823068109656024</c:v>
                </c:pt>
                <c:pt idx="191">
                  <c:v>-0.28013333059976997</c:v>
                </c:pt>
                <c:pt idx="192">
                  <c:v>-0.28547511652277535</c:v>
                </c:pt>
                <c:pt idx="193">
                  <c:v>-0.28979155887915198</c:v>
                </c:pt>
                <c:pt idx="194">
                  <c:v>-0.29699464653288921</c:v>
                </c:pt>
                <c:pt idx="195">
                  <c:v>-0.30476989903825391</c:v>
                </c:pt>
                <c:pt idx="196">
                  <c:v>-0.30680761239053922</c:v>
                </c:pt>
                <c:pt idx="197">
                  <c:v>-0.30715529653807039</c:v>
                </c:pt>
                <c:pt idx="198">
                  <c:v>-0.31040021284326791</c:v>
                </c:pt>
                <c:pt idx="199">
                  <c:v>-0.31321425364636291</c:v>
                </c:pt>
                <c:pt idx="200">
                  <c:v>-0.32130858163927023</c:v>
                </c:pt>
                <c:pt idx="201">
                  <c:v>-0.32131988989516813</c:v>
                </c:pt>
                <c:pt idx="202">
                  <c:v>-0.3215873987375204</c:v>
                </c:pt>
                <c:pt idx="203">
                  <c:v>-0.32175252524649611</c:v>
                </c:pt>
                <c:pt idx="204">
                  <c:v>-0.32221220057482647</c:v>
                </c:pt>
                <c:pt idx="205">
                  <c:v>-0.32556994403190487</c:v>
                </c:pt>
                <c:pt idx="206">
                  <c:v>-0.32616957179232475</c:v>
                </c:pt>
                <c:pt idx="207">
                  <c:v>-0.32716404905268792</c:v>
                </c:pt>
                <c:pt idx="208">
                  <c:v>-0.32774749161147909</c:v>
                </c:pt>
                <c:pt idx="209">
                  <c:v>-0.32805484794131345</c:v>
                </c:pt>
                <c:pt idx="210">
                  <c:v>-0.32844337875452378</c:v>
                </c:pt>
                <c:pt idx="211">
                  <c:v>-0.32915248697027</c:v>
                </c:pt>
                <c:pt idx="212">
                  <c:v>-0.32946944214073692</c:v>
                </c:pt>
                <c:pt idx="213">
                  <c:v>-0.33054549125860078</c:v>
                </c:pt>
                <c:pt idx="214">
                  <c:v>-0.33071994742896393</c:v>
                </c:pt>
                <c:pt idx="215">
                  <c:v>-0.3308795564264857</c:v>
                </c:pt>
                <c:pt idx="216">
                  <c:v>-0.33234840335083415</c:v>
                </c:pt>
                <c:pt idx="217">
                  <c:v>-0.33283203038940101</c:v>
                </c:pt>
                <c:pt idx="218">
                  <c:v>-0.33293520589108816</c:v>
                </c:pt>
                <c:pt idx="219">
                  <c:v>-0.33311144741588805</c:v>
                </c:pt>
                <c:pt idx="220">
                  <c:v>-0.33318803420376764</c:v>
                </c:pt>
                <c:pt idx="221">
                  <c:v>-0.3331992442159768</c:v>
                </c:pt>
                <c:pt idx="222">
                  <c:v>-0.33336207259863393</c:v>
                </c:pt>
                <c:pt idx="223">
                  <c:v>-0.33337706590562188</c:v>
                </c:pt>
                <c:pt idx="224">
                  <c:v>-0.33340821086127193</c:v>
                </c:pt>
                <c:pt idx="225">
                  <c:v>-0.33341864275570288</c:v>
                </c:pt>
                <c:pt idx="226">
                  <c:v>-0.33342833733327382</c:v>
                </c:pt>
                <c:pt idx="227">
                  <c:v>-0.33345196959835199</c:v>
                </c:pt>
                <c:pt idx="228">
                  <c:v>-0.33358809527783162</c:v>
                </c:pt>
                <c:pt idx="229">
                  <c:v>-0.33359347493103364</c:v>
                </c:pt>
                <c:pt idx="230">
                  <c:v>-0.33366287908426795</c:v>
                </c:pt>
                <c:pt idx="231">
                  <c:v>-0.33374104108700209</c:v>
                </c:pt>
                <c:pt idx="232">
                  <c:v>-0.3337416207793229</c:v>
                </c:pt>
                <c:pt idx="233">
                  <c:v>-0.33375426999981084</c:v>
                </c:pt>
                <c:pt idx="234">
                  <c:v>-0.3337888598723131</c:v>
                </c:pt>
                <c:pt idx="235">
                  <c:v>-0.33383811194474955</c:v>
                </c:pt>
                <c:pt idx="236">
                  <c:v>-0.33383820818653476</c:v>
                </c:pt>
                <c:pt idx="237">
                  <c:v>-0.33383307959549668</c:v>
                </c:pt>
                <c:pt idx="238">
                  <c:v>-0.33380915505152764</c:v>
                </c:pt>
                <c:pt idx="239">
                  <c:v>-0.33380405041505057</c:v>
                </c:pt>
                <c:pt idx="240">
                  <c:v>-0.33379568563662598</c:v>
                </c:pt>
                <c:pt idx="241">
                  <c:v>-0.33353724559310827</c:v>
                </c:pt>
                <c:pt idx="242">
                  <c:v>-0.3322584831467168</c:v>
                </c:pt>
                <c:pt idx="243">
                  <c:v>-0.33199480439187834</c:v>
                </c:pt>
                <c:pt idx="244">
                  <c:v>-0.3315478606986435</c:v>
                </c:pt>
                <c:pt idx="245">
                  <c:v>-0.33135781974389555</c:v>
                </c:pt>
                <c:pt idx="246">
                  <c:v>-0.33119391822260624</c:v>
                </c:pt>
                <c:pt idx="247">
                  <c:v>-0.33094536672871211</c:v>
                </c:pt>
                <c:pt idx="248">
                  <c:v>-0.33071301674502074</c:v>
                </c:pt>
                <c:pt idx="249">
                  <c:v>-0.33058368999468346</c:v>
                </c:pt>
                <c:pt idx="250">
                  <c:v>-0.32978454773843868</c:v>
                </c:pt>
                <c:pt idx="251">
                  <c:v>-0.32907964014349034</c:v>
                </c:pt>
                <c:pt idx="252">
                  <c:v>-0.32888478584296887</c:v>
                </c:pt>
                <c:pt idx="253">
                  <c:v>-0.32870951969426887</c:v>
                </c:pt>
                <c:pt idx="254">
                  <c:v>-0.32862128101438071</c:v>
                </c:pt>
                <c:pt idx="255">
                  <c:v>-0.32851011274800346</c:v>
                </c:pt>
                <c:pt idx="256">
                  <c:v>-0.32839822876114066</c:v>
                </c:pt>
                <c:pt idx="257">
                  <c:v>-0.3278945800965456</c:v>
                </c:pt>
                <c:pt idx="258">
                  <c:v>-0.32789128725860994</c:v>
                </c:pt>
                <c:pt idx="259">
                  <c:v>-0.32784991860378199</c:v>
                </c:pt>
                <c:pt idx="260">
                  <c:v>-0.32703633632556794</c:v>
                </c:pt>
                <c:pt idx="261">
                  <c:v>-0.32565349810277944</c:v>
                </c:pt>
                <c:pt idx="262">
                  <c:v>-0.32471739908685837</c:v>
                </c:pt>
                <c:pt idx="263">
                  <c:v>-0.32392636728746105</c:v>
                </c:pt>
                <c:pt idx="264">
                  <c:v>-0.32333526615117147</c:v>
                </c:pt>
                <c:pt idx="265">
                  <c:v>-0.32288995596468606</c:v>
                </c:pt>
                <c:pt idx="266">
                  <c:v>-0.32256831932369323</c:v>
                </c:pt>
                <c:pt idx="267">
                  <c:v>-0.3222039340302576</c:v>
                </c:pt>
                <c:pt idx="268">
                  <c:v>-0.32194327561192981</c:v>
                </c:pt>
                <c:pt idx="269">
                  <c:v>-0.32151735308065543</c:v>
                </c:pt>
                <c:pt idx="270">
                  <c:v>-0.32109208222495678</c:v>
                </c:pt>
                <c:pt idx="271">
                  <c:v>-0.3210699043930072</c:v>
                </c:pt>
                <c:pt idx="272">
                  <c:v>-0.3207495544062855</c:v>
                </c:pt>
                <c:pt idx="273">
                  <c:v>-0.31998956660039291</c:v>
                </c:pt>
                <c:pt idx="274">
                  <c:v>-0.31901015536148769</c:v>
                </c:pt>
                <c:pt idx="275">
                  <c:v>-0.31869943785732247</c:v>
                </c:pt>
                <c:pt idx="276">
                  <c:v>-0.31832960023487367</c:v>
                </c:pt>
                <c:pt idx="277">
                  <c:v>-0.31814011509323059</c:v>
                </c:pt>
                <c:pt idx="278">
                  <c:v>-0.31787954328171786</c:v>
                </c:pt>
                <c:pt idx="279">
                  <c:v>-0.31771105526502286</c:v>
                </c:pt>
                <c:pt idx="280">
                  <c:v>-0.31737161341752707</c:v>
                </c:pt>
                <c:pt idx="281">
                  <c:v>-0.31732500349751813</c:v>
                </c:pt>
                <c:pt idx="282">
                  <c:v>-0.31725804492185983</c:v>
                </c:pt>
                <c:pt idx="283">
                  <c:v>-0.31712059620296618</c:v>
                </c:pt>
                <c:pt idx="284">
                  <c:v>-0.31711093393494227</c:v>
                </c:pt>
                <c:pt idx="285">
                  <c:v>-0.31708790828498312</c:v>
                </c:pt>
                <c:pt idx="286">
                  <c:v>-0.31642889439903321</c:v>
                </c:pt>
                <c:pt idx="287">
                  <c:v>-0.31638393157406686</c:v>
                </c:pt>
                <c:pt idx="288">
                  <c:v>-0.31610733055255391</c:v>
                </c:pt>
                <c:pt idx="289">
                  <c:v>-0.31606435335791438</c:v>
                </c:pt>
                <c:pt idx="290">
                  <c:v>-0.31587762498322203</c:v>
                </c:pt>
                <c:pt idx="291">
                  <c:v>-0.31546915349209392</c:v>
                </c:pt>
                <c:pt idx="292">
                  <c:v>-0.31546800378716267</c:v>
                </c:pt>
                <c:pt idx="293">
                  <c:v>-0.31543387147552338</c:v>
                </c:pt>
                <c:pt idx="294">
                  <c:v>-0.31498709274313175</c:v>
                </c:pt>
                <c:pt idx="295">
                  <c:v>-0.31485567967710804</c:v>
                </c:pt>
                <c:pt idx="296">
                  <c:v>-0.31451692175303059</c:v>
                </c:pt>
                <c:pt idx="297">
                  <c:v>-0.31450195357750399</c:v>
                </c:pt>
                <c:pt idx="298">
                  <c:v>-0.31440111917031466</c:v>
                </c:pt>
                <c:pt idx="299">
                  <c:v>-0.31426514951572226</c:v>
                </c:pt>
                <c:pt idx="300">
                  <c:v>-0.31399864137143574</c:v>
                </c:pt>
                <c:pt idx="301">
                  <c:v>-0.31394224554350281</c:v>
                </c:pt>
                <c:pt idx="302">
                  <c:v>-0.31391809453440978</c:v>
                </c:pt>
                <c:pt idx="303">
                  <c:v>-0.31326167030475904</c:v>
                </c:pt>
                <c:pt idx="304">
                  <c:v>-0.31306400309036508</c:v>
                </c:pt>
                <c:pt idx="305">
                  <c:v>-0.31275579157868005</c:v>
                </c:pt>
                <c:pt idx="306">
                  <c:v>-0.31262598572756151</c:v>
                </c:pt>
                <c:pt idx="307">
                  <c:v>-0.31253649446391307</c:v>
                </c:pt>
                <c:pt idx="308">
                  <c:v>-0.31243530085182236</c:v>
                </c:pt>
                <c:pt idx="309">
                  <c:v>-0.31235593034451803</c:v>
                </c:pt>
                <c:pt idx="310">
                  <c:v>-0.31159874225228368</c:v>
                </c:pt>
                <c:pt idx="311">
                  <c:v>-0.31130065456146649</c:v>
                </c:pt>
                <c:pt idx="312">
                  <c:v>-0.31114652335174853</c:v>
                </c:pt>
                <c:pt idx="313">
                  <c:v>-0.31067085556680585</c:v>
                </c:pt>
                <c:pt idx="314">
                  <c:v>-0.31005691922938627</c:v>
                </c:pt>
                <c:pt idx="315">
                  <c:v>-0.30833869528746938</c:v>
                </c:pt>
                <c:pt idx="316">
                  <c:v>-0.30717271750303965</c:v>
                </c:pt>
                <c:pt idx="317">
                  <c:v>-0.30652588908470069</c:v>
                </c:pt>
                <c:pt idx="318">
                  <c:v>-0.30624310202318572</c:v>
                </c:pt>
                <c:pt idx="319">
                  <c:v>-0.30591210977901984</c:v>
                </c:pt>
                <c:pt idx="320">
                  <c:v>-0.30515609468627414</c:v>
                </c:pt>
                <c:pt idx="321">
                  <c:v>-0.30417131178104917</c:v>
                </c:pt>
                <c:pt idx="322">
                  <c:v>-0.30380549362715747</c:v>
                </c:pt>
                <c:pt idx="323">
                  <c:v>-0.30353692587654191</c:v>
                </c:pt>
                <c:pt idx="324">
                  <c:v>-0.30345074394933658</c:v>
                </c:pt>
                <c:pt idx="325">
                  <c:v>-0.30255354348785346</c:v>
                </c:pt>
                <c:pt idx="326">
                  <c:v>-0.30237820025035411</c:v>
                </c:pt>
                <c:pt idx="327">
                  <c:v>-0.30225850575466939</c:v>
                </c:pt>
                <c:pt idx="328">
                  <c:v>-0.30151419486727971</c:v>
                </c:pt>
                <c:pt idx="329">
                  <c:v>-0.29994314096021757</c:v>
                </c:pt>
                <c:pt idx="330">
                  <c:v>-0.29827255174362755</c:v>
                </c:pt>
                <c:pt idx="331">
                  <c:v>-0.29807833510836623</c:v>
                </c:pt>
                <c:pt idx="332">
                  <c:v>-0.29805278104593036</c:v>
                </c:pt>
                <c:pt idx="333">
                  <c:v>-0.29789983925572994</c:v>
                </c:pt>
                <c:pt idx="334">
                  <c:v>-0.29646563758196454</c:v>
                </c:pt>
                <c:pt idx="335">
                  <c:v>-0.29604326861341157</c:v>
                </c:pt>
                <c:pt idx="336">
                  <c:v>-0.29577672014125422</c:v>
                </c:pt>
                <c:pt idx="337">
                  <c:v>-0.29417060788125227</c:v>
                </c:pt>
                <c:pt idx="338">
                  <c:v>-0.29227090000949651</c:v>
                </c:pt>
                <c:pt idx="339">
                  <c:v>-0.2908904976146145</c:v>
                </c:pt>
                <c:pt idx="340">
                  <c:v>-0.28787915738916237</c:v>
                </c:pt>
                <c:pt idx="341">
                  <c:v>-0.28549143723728054</c:v>
                </c:pt>
                <c:pt idx="342">
                  <c:v>-0.28248094164284954</c:v>
                </c:pt>
                <c:pt idx="343">
                  <c:v>-0.28187333462487096</c:v>
                </c:pt>
                <c:pt idx="344">
                  <c:v>-0.28070333462801234</c:v>
                </c:pt>
                <c:pt idx="345">
                  <c:v>-0.27853720624411515</c:v>
                </c:pt>
                <c:pt idx="346">
                  <c:v>-0.27515040112115496</c:v>
                </c:pt>
                <c:pt idx="347">
                  <c:v>-0.27028308038456128</c:v>
                </c:pt>
                <c:pt idx="348">
                  <c:v>-0.26792421939620947</c:v>
                </c:pt>
                <c:pt idx="349">
                  <c:v>-0.26533892944197301</c:v>
                </c:pt>
                <c:pt idx="350">
                  <c:v>-0.26318932750081547</c:v>
                </c:pt>
                <c:pt idx="351">
                  <c:v>-0.2592754842353413</c:v>
                </c:pt>
                <c:pt idx="352">
                  <c:v>-0.25634475010721314</c:v>
                </c:pt>
                <c:pt idx="353">
                  <c:v>-0.2555133284608706</c:v>
                </c:pt>
                <c:pt idx="354">
                  <c:v>-0.25535194731075883</c:v>
                </c:pt>
                <c:pt idx="355">
                  <c:v>-0.25513538510276401</c:v>
                </c:pt>
                <c:pt idx="356">
                  <c:v>-0.25484716653089823</c:v>
                </c:pt>
                <c:pt idx="357">
                  <c:v>-0.25459032268180426</c:v>
                </c:pt>
                <c:pt idx="358">
                  <c:v>-0.25145883759538545</c:v>
                </c:pt>
                <c:pt idx="359">
                  <c:v>-0.25113700639609604</c:v>
                </c:pt>
                <c:pt idx="360">
                  <c:v>-0.24653178632057582</c:v>
                </c:pt>
                <c:pt idx="361">
                  <c:v>-0.24621713831223335</c:v>
                </c:pt>
                <c:pt idx="362">
                  <c:v>-0.24451052474273549</c:v>
                </c:pt>
                <c:pt idx="363">
                  <c:v>-0.24264259801736721</c:v>
                </c:pt>
                <c:pt idx="364">
                  <c:v>-0.24233826813073556</c:v>
                </c:pt>
                <c:pt idx="365">
                  <c:v>-0.24124106967279335</c:v>
                </c:pt>
                <c:pt idx="366">
                  <c:v>-0.23960277243266237</c:v>
                </c:pt>
                <c:pt idx="367">
                  <c:v>-0.23861634076122762</c:v>
                </c:pt>
                <c:pt idx="368">
                  <c:v>-0.23563057112389352</c:v>
                </c:pt>
                <c:pt idx="369">
                  <c:v>-0.23510520008374591</c:v>
                </c:pt>
                <c:pt idx="370">
                  <c:v>-0.23478270247619726</c:v>
                </c:pt>
                <c:pt idx="371">
                  <c:v>-0.23033283569550722</c:v>
                </c:pt>
                <c:pt idx="372">
                  <c:v>-0.22697538404969553</c:v>
                </c:pt>
                <c:pt idx="373">
                  <c:v>-0.22234063294220618</c:v>
                </c:pt>
                <c:pt idx="374">
                  <c:v>-0.22204072757576743</c:v>
                </c:pt>
                <c:pt idx="375">
                  <c:v>-0.2117585157295041</c:v>
                </c:pt>
                <c:pt idx="376">
                  <c:v>-0.21067233566663113</c:v>
                </c:pt>
                <c:pt idx="377">
                  <c:v>-0.19902162145831603</c:v>
                </c:pt>
                <c:pt idx="378">
                  <c:v>-0.19894011110468579</c:v>
                </c:pt>
                <c:pt idx="379">
                  <c:v>-0.18599619102175335</c:v>
                </c:pt>
                <c:pt idx="380">
                  <c:v>-0.18139814801151211</c:v>
                </c:pt>
                <c:pt idx="381">
                  <c:v>-0.17403411599080965</c:v>
                </c:pt>
                <c:pt idx="382">
                  <c:v>-0.17261220402451283</c:v>
                </c:pt>
                <c:pt idx="383">
                  <c:v>-0.16229734854929134</c:v>
                </c:pt>
                <c:pt idx="384">
                  <c:v>-0.15911618435273223</c:v>
                </c:pt>
                <c:pt idx="385">
                  <c:v>-0.15050139923110617</c:v>
                </c:pt>
                <c:pt idx="386">
                  <c:v>-0.14866026045103187</c:v>
                </c:pt>
                <c:pt idx="387">
                  <c:v>-0.13841851107477243</c:v>
                </c:pt>
                <c:pt idx="388">
                  <c:v>-0.13166044798003185</c:v>
                </c:pt>
                <c:pt idx="389">
                  <c:v>-0.12653136756187244</c:v>
                </c:pt>
                <c:pt idx="390">
                  <c:v>-0.12485470353431172</c:v>
                </c:pt>
                <c:pt idx="391">
                  <c:v>-0.10857594338438581</c:v>
                </c:pt>
                <c:pt idx="392">
                  <c:v>-9.0767001984460194E-2</c:v>
                </c:pt>
                <c:pt idx="393">
                  <c:v>-8.4539714100961838E-2</c:v>
                </c:pt>
                <c:pt idx="394">
                  <c:v>-8.4193182745035955E-2</c:v>
                </c:pt>
                <c:pt idx="395">
                  <c:v>-7.7895576466294081E-2</c:v>
                </c:pt>
                <c:pt idx="396">
                  <c:v>-6.0261306043963181E-2</c:v>
                </c:pt>
                <c:pt idx="397">
                  <c:v>-5.3215190255149203E-2</c:v>
                </c:pt>
                <c:pt idx="398">
                  <c:v>-5.0379859486567646E-2</c:v>
                </c:pt>
                <c:pt idx="399">
                  <c:v>-3.0912894462914231E-2</c:v>
                </c:pt>
                <c:pt idx="400">
                  <c:v>-2.3158862968696958E-2</c:v>
                </c:pt>
                <c:pt idx="401">
                  <c:v>4.809229680636129E-3</c:v>
                </c:pt>
                <c:pt idx="402">
                  <c:v>7.5613235922364908E-3</c:v>
                </c:pt>
                <c:pt idx="403">
                  <c:v>1.3506556351683408E-2</c:v>
                </c:pt>
                <c:pt idx="404">
                  <c:v>1.4651385984664422E-2</c:v>
                </c:pt>
                <c:pt idx="405">
                  <c:v>2.2424440334249063E-2</c:v>
                </c:pt>
                <c:pt idx="406">
                  <c:v>2.2758506684594337E-2</c:v>
                </c:pt>
                <c:pt idx="407">
                  <c:v>2.7467264080279996E-2</c:v>
                </c:pt>
                <c:pt idx="408">
                  <c:v>3.4646714546820334E-2</c:v>
                </c:pt>
                <c:pt idx="409">
                  <c:v>3.8879437693871033E-2</c:v>
                </c:pt>
                <c:pt idx="410">
                  <c:v>3.9367298050862587E-2</c:v>
                </c:pt>
                <c:pt idx="411">
                  <c:v>5.8294017702071876E-2</c:v>
                </c:pt>
                <c:pt idx="412">
                  <c:v>5.8830198410666057E-2</c:v>
                </c:pt>
                <c:pt idx="413">
                  <c:v>6.9531018561841407E-2</c:v>
                </c:pt>
                <c:pt idx="414">
                  <c:v>0.10112923408646246</c:v>
                </c:pt>
                <c:pt idx="415">
                  <c:v>0.10185133388389289</c:v>
                </c:pt>
                <c:pt idx="416">
                  <c:v>0.10393491324474358</c:v>
                </c:pt>
                <c:pt idx="417">
                  <c:v>0.11394361801172703</c:v>
                </c:pt>
                <c:pt idx="418">
                  <c:v>0.11613436951354128</c:v>
                </c:pt>
                <c:pt idx="419">
                  <c:v>0.11672683844560172</c:v>
                </c:pt>
                <c:pt idx="420">
                  <c:v>0.11668381549664097</c:v>
                </c:pt>
                <c:pt idx="421">
                  <c:v>0.11522794231556599</c:v>
                </c:pt>
                <c:pt idx="422">
                  <c:v>0.11408923067099863</c:v>
                </c:pt>
                <c:pt idx="423">
                  <c:v>0.10067631633543339</c:v>
                </c:pt>
                <c:pt idx="424">
                  <c:v>9.5857175561452124E-2</c:v>
                </c:pt>
                <c:pt idx="425">
                  <c:v>9.4816596289700961E-2</c:v>
                </c:pt>
                <c:pt idx="426">
                  <c:v>9.3232305129670401E-2</c:v>
                </c:pt>
                <c:pt idx="427">
                  <c:v>7.4647186342470029E-2</c:v>
                </c:pt>
                <c:pt idx="428">
                  <c:v>7.3466645033336775E-2</c:v>
                </c:pt>
                <c:pt idx="429">
                  <c:v>6.6836419494955557E-2</c:v>
                </c:pt>
                <c:pt idx="430">
                  <c:v>6.3320581348950356E-2</c:v>
                </c:pt>
                <c:pt idx="431">
                  <c:v>5.9588683093172889E-2</c:v>
                </c:pt>
                <c:pt idx="432">
                  <c:v>5.8390335669576743E-2</c:v>
                </c:pt>
                <c:pt idx="433">
                  <c:v>5.3942832973942423E-2</c:v>
                </c:pt>
                <c:pt idx="434">
                  <c:v>4.6895208485416617E-2</c:v>
                </c:pt>
                <c:pt idx="435">
                  <c:v>3.0749402276526006E-2</c:v>
                </c:pt>
                <c:pt idx="436">
                  <c:v>2.2544827640879284E-2</c:v>
                </c:pt>
                <c:pt idx="437">
                  <c:v>2.0305040267173169E-2</c:v>
                </c:pt>
                <c:pt idx="438">
                  <c:v>1.1228799331504113E-2</c:v>
                </c:pt>
                <c:pt idx="439">
                  <c:v>-2.1181193110134444E-2</c:v>
                </c:pt>
                <c:pt idx="440">
                  <c:v>-2.7266960713022037E-2</c:v>
                </c:pt>
                <c:pt idx="441">
                  <c:v>-3.5529959049489968E-2</c:v>
                </c:pt>
                <c:pt idx="442">
                  <c:v>-3.5801304652758326E-2</c:v>
                </c:pt>
                <c:pt idx="443">
                  <c:v>-4.6256055079528124E-2</c:v>
                </c:pt>
                <c:pt idx="444">
                  <c:v>-5.1295297224968728E-2</c:v>
                </c:pt>
                <c:pt idx="445">
                  <c:v>-5.5828889712517871E-2</c:v>
                </c:pt>
                <c:pt idx="446">
                  <c:v>-6.7583468362109045E-2</c:v>
                </c:pt>
                <c:pt idx="447">
                  <c:v>-7.5132447339406383E-2</c:v>
                </c:pt>
                <c:pt idx="448">
                  <c:v>-9.9718703632730943E-2</c:v>
                </c:pt>
                <c:pt idx="449">
                  <c:v>-0.10342061645948597</c:v>
                </c:pt>
                <c:pt idx="450">
                  <c:v>-0.13229036730386312</c:v>
                </c:pt>
                <c:pt idx="451">
                  <c:v>-0.13271955043143091</c:v>
                </c:pt>
                <c:pt idx="452">
                  <c:v>-0.14232074951519724</c:v>
                </c:pt>
                <c:pt idx="453">
                  <c:v>-0.1431197674657847</c:v>
                </c:pt>
                <c:pt idx="454">
                  <c:v>-0.14527219884293974</c:v>
                </c:pt>
                <c:pt idx="455">
                  <c:v>-0.15429073838829588</c:v>
                </c:pt>
                <c:pt idx="456">
                  <c:v>-0.15441466230722423</c:v>
                </c:pt>
                <c:pt idx="457">
                  <c:v>-0.16861808320956584</c:v>
                </c:pt>
                <c:pt idx="458">
                  <c:v>-0.17201178805949358</c:v>
                </c:pt>
                <c:pt idx="459">
                  <c:v>-0.17693160051759893</c:v>
                </c:pt>
                <c:pt idx="460">
                  <c:v>-0.1776439620138266</c:v>
                </c:pt>
                <c:pt idx="461">
                  <c:v>-0.1787874537712133</c:v>
                </c:pt>
                <c:pt idx="462">
                  <c:v>-0.21950468654491928</c:v>
                </c:pt>
                <c:pt idx="463">
                  <c:v>-0.23195317240118918</c:v>
                </c:pt>
                <c:pt idx="464">
                  <c:v>-0.23615991166186845</c:v>
                </c:pt>
                <c:pt idx="465">
                  <c:v>-0.24047392456460859</c:v>
                </c:pt>
                <c:pt idx="466">
                  <c:v>-0.24197666875468204</c:v>
                </c:pt>
                <c:pt idx="467">
                  <c:v>-0.24310677786704105</c:v>
                </c:pt>
                <c:pt idx="468">
                  <c:v>-0.24717845754133094</c:v>
                </c:pt>
                <c:pt idx="469">
                  <c:v>-0.24860193618178439</c:v>
                </c:pt>
                <c:pt idx="470">
                  <c:v>-0.25513586871678484</c:v>
                </c:pt>
                <c:pt idx="471">
                  <c:v>-0.25519333213505657</c:v>
                </c:pt>
                <c:pt idx="472">
                  <c:v>-0.25767154366013489</c:v>
                </c:pt>
                <c:pt idx="473">
                  <c:v>-0.25918906815569631</c:v>
                </c:pt>
                <c:pt idx="474">
                  <c:v>-0.25920183143247844</c:v>
                </c:pt>
                <c:pt idx="475">
                  <c:v>-0.26108615871120655</c:v>
                </c:pt>
                <c:pt idx="476">
                  <c:v>-0.26548067603007564</c:v>
                </c:pt>
                <c:pt idx="477">
                  <c:v>-0.26746206989717169</c:v>
                </c:pt>
                <c:pt idx="478">
                  <c:v>-0.27117299572218556</c:v>
                </c:pt>
                <c:pt idx="479">
                  <c:v>-0.27221031687336517</c:v>
                </c:pt>
                <c:pt idx="480">
                  <c:v>-0.27560843922694733</c:v>
                </c:pt>
                <c:pt idx="481">
                  <c:v>-0.27819789622856295</c:v>
                </c:pt>
                <c:pt idx="482">
                  <c:v>-0.28021608930570352</c:v>
                </c:pt>
                <c:pt idx="483">
                  <c:v>-0.28235404329778468</c:v>
                </c:pt>
                <c:pt idx="484">
                  <c:v>-0.28279314382509479</c:v>
                </c:pt>
                <c:pt idx="485">
                  <c:v>-0.28339952210188635</c:v>
                </c:pt>
                <c:pt idx="486">
                  <c:v>-0.2840912149189716</c:v>
                </c:pt>
                <c:pt idx="487">
                  <c:v>-0.28470277188519422</c:v>
                </c:pt>
                <c:pt idx="488">
                  <c:v>-0.28502074786679543</c:v>
                </c:pt>
                <c:pt idx="489">
                  <c:v>-0.28629030863302862</c:v>
                </c:pt>
                <c:pt idx="490">
                  <c:v>-0.29416833480684712</c:v>
                </c:pt>
                <c:pt idx="491">
                  <c:v>-0.29776757831148348</c:v>
                </c:pt>
                <c:pt idx="492">
                  <c:v>-0.29895812385545018</c:v>
                </c:pt>
                <c:pt idx="493">
                  <c:v>-0.30035889570209751</c:v>
                </c:pt>
                <c:pt idx="494">
                  <c:v>-0.30465528934023212</c:v>
                </c:pt>
                <c:pt idx="495">
                  <c:v>-0.30756858633702322</c:v>
                </c:pt>
                <c:pt idx="496">
                  <c:v>-0.31394828143795284</c:v>
                </c:pt>
                <c:pt idx="497">
                  <c:v>-0.31685098897112507</c:v>
                </c:pt>
                <c:pt idx="498">
                  <c:v>-0.31904944154598347</c:v>
                </c:pt>
                <c:pt idx="499">
                  <c:v>-0.32057428087551365</c:v>
                </c:pt>
                <c:pt idx="500">
                  <c:v>-0.32159172084751653</c:v>
                </c:pt>
                <c:pt idx="501">
                  <c:v>-0.32165162513426715</c:v>
                </c:pt>
                <c:pt idx="502">
                  <c:v>0</c:v>
                </c:pt>
                <c:pt idx="5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47-4C53-B095-3C309E6E503D}"/>
            </c:ext>
          </c:extLst>
        </c:ser>
        <c:ser>
          <c:idx val="6"/>
          <c:order val="6"/>
          <c:tx>
            <c:strRef>
              <c:f>'test function'!$AM$5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numRef>
              <c:f>'test function'!$AK$6:$AK$509</c:f>
              <c:numCache>
                <c:formatCode>General</c:formatCode>
                <c:ptCount val="504"/>
                <c:pt idx="0">
                  <c:v>0</c:v>
                </c:pt>
                <c:pt idx="1">
                  <c:v>0</c:v>
                </c:pt>
                <c:pt idx="2">
                  <c:v>6.9027579560575663E-3</c:v>
                </c:pt>
                <c:pt idx="3">
                  <c:v>1.2486472851962072</c:v>
                </c:pt>
                <c:pt idx="4">
                  <c:v>2.775973285289838</c:v>
                </c:pt>
                <c:pt idx="5">
                  <c:v>4.3250843205280098</c:v>
                </c:pt>
                <c:pt idx="6">
                  <c:v>6.1028277694973392</c:v>
                </c:pt>
                <c:pt idx="7">
                  <c:v>7.0460844651496117</c:v>
                </c:pt>
                <c:pt idx="8">
                  <c:v>9.1047239656695673</c:v>
                </c:pt>
                <c:pt idx="9">
                  <c:v>10.990839259808489</c:v>
                </c:pt>
                <c:pt idx="10">
                  <c:v>14.363875529809857</c:v>
                </c:pt>
                <c:pt idx="11">
                  <c:v>19.701903969172488</c:v>
                </c:pt>
                <c:pt idx="12">
                  <c:v>24.029532505010948</c:v>
                </c:pt>
                <c:pt idx="13">
                  <c:v>25.056872056503799</c:v>
                </c:pt>
                <c:pt idx="14">
                  <c:v>26.732635406727763</c:v>
                </c:pt>
                <c:pt idx="15">
                  <c:v>27.969142416463466</c:v>
                </c:pt>
                <c:pt idx="16">
                  <c:v>30.151815413462728</c:v>
                </c:pt>
                <c:pt idx="17">
                  <c:v>30.251500975663042</c:v>
                </c:pt>
                <c:pt idx="18">
                  <c:v>30.595741036539916</c:v>
                </c:pt>
                <c:pt idx="19">
                  <c:v>31.264614012705096</c:v>
                </c:pt>
                <c:pt idx="20">
                  <c:v>31.99627442319154</c:v>
                </c:pt>
                <c:pt idx="21">
                  <c:v>36.960251674047932</c:v>
                </c:pt>
                <c:pt idx="22">
                  <c:v>37.370959940744463</c:v>
                </c:pt>
                <c:pt idx="23">
                  <c:v>38.986722444392136</c:v>
                </c:pt>
                <c:pt idx="24">
                  <c:v>41.721057089514943</c:v>
                </c:pt>
                <c:pt idx="25">
                  <c:v>43.367610429164316</c:v>
                </c:pt>
                <c:pt idx="26">
                  <c:v>52.177560112790736</c:v>
                </c:pt>
                <c:pt idx="27">
                  <c:v>54.326518563339214</c:v>
                </c:pt>
                <c:pt idx="28">
                  <c:v>55.092417172017342</c:v>
                </c:pt>
                <c:pt idx="29">
                  <c:v>57.815784351395685</c:v>
                </c:pt>
                <c:pt idx="30">
                  <c:v>61.041082400674682</c:v>
                </c:pt>
                <c:pt idx="31">
                  <c:v>64.808210574514035</c:v>
                </c:pt>
                <c:pt idx="32">
                  <c:v>65.519029681159523</c:v>
                </c:pt>
                <c:pt idx="33">
                  <c:v>67.860036395161771</c:v>
                </c:pt>
                <c:pt idx="34">
                  <c:v>67.957580629228602</c:v>
                </c:pt>
                <c:pt idx="35">
                  <c:v>68.231507973251183</c:v>
                </c:pt>
                <c:pt idx="36">
                  <c:v>75.248315271653638</c:v>
                </c:pt>
                <c:pt idx="37">
                  <c:v>79.056100728725582</c:v>
                </c:pt>
                <c:pt idx="38">
                  <c:v>79.326379507507013</c:v>
                </c:pt>
                <c:pt idx="39">
                  <c:v>80.005659163816432</c:v>
                </c:pt>
                <c:pt idx="40">
                  <c:v>81.60681058131695</c:v>
                </c:pt>
                <c:pt idx="41">
                  <c:v>82.926641892358248</c:v>
                </c:pt>
                <c:pt idx="42">
                  <c:v>85.430679382887078</c:v>
                </c:pt>
                <c:pt idx="43">
                  <c:v>89.099594023596566</c:v>
                </c:pt>
                <c:pt idx="44">
                  <c:v>90.592390686597611</c:v>
                </c:pt>
                <c:pt idx="45">
                  <c:v>93.836915873970057</c:v>
                </c:pt>
                <c:pt idx="46">
                  <c:v>93.886988166404038</c:v>
                </c:pt>
                <c:pt idx="47">
                  <c:v>95.498485381447495</c:v>
                </c:pt>
                <c:pt idx="48">
                  <c:v>96.544514974197583</c:v>
                </c:pt>
                <c:pt idx="49">
                  <c:v>100.5884410288877</c:v>
                </c:pt>
                <c:pt idx="50">
                  <c:v>103.08410853351251</c:v>
                </c:pt>
                <c:pt idx="51">
                  <c:v>103.42235593077621</c:v>
                </c:pt>
                <c:pt idx="52">
                  <c:v>108.56643434413144</c:v>
                </c:pt>
                <c:pt idx="53">
                  <c:v>108.91349662480631</c:v>
                </c:pt>
                <c:pt idx="54">
                  <c:v>110.03970593194137</c:v>
                </c:pt>
                <c:pt idx="55">
                  <c:v>115.07368226949164</c:v>
                </c:pt>
                <c:pt idx="56">
                  <c:v>115.28126284632644</c:v>
                </c:pt>
                <c:pt idx="57">
                  <c:v>116.33765508950357</c:v>
                </c:pt>
                <c:pt idx="58">
                  <c:v>117.65182432916959</c:v>
                </c:pt>
                <c:pt idx="59">
                  <c:v>119.31735106169018</c:v>
                </c:pt>
                <c:pt idx="60">
                  <c:v>124.73298677908177</c:v>
                </c:pt>
                <c:pt idx="61">
                  <c:v>124.95063294619187</c:v>
                </c:pt>
                <c:pt idx="62">
                  <c:v>126.05570529490556</c:v>
                </c:pt>
                <c:pt idx="63">
                  <c:v>126.92674580574399</c:v>
                </c:pt>
                <c:pt idx="64">
                  <c:v>128.91684707161698</c:v>
                </c:pt>
                <c:pt idx="65">
                  <c:v>132.18594376262624</c:v>
                </c:pt>
                <c:pt idx="66">
                  <c:v>134.22689534450785</c:v>
                </c:pt>
                <c:pt idx="67">
                  <c:v>136.44679429706341</c:v>
                </c:pt>
                <c:pt idx="68">
                  <c:v>142.1952379435285</c:v>
                </c:pt>
                <c:pt idx="69">
                  <c:v>148.76384718674564</c:v>
                </c:pt>
                <c:pt idx="70">
                  <c:v>148.8869287807955</c:v>
                </c:pt>
                <c:pt idx="71">
                  <c:v>151.0976613477298</c:v>
                </c:pt>
                <c:pt idx="72">
                  <c:v>152.07241245538825</c:v>
                </c:pt>
                <c:pt idx="73">
                  <c:v>152.88537125136995</c:v>
                </c:pt>
                <c:pt idx="74">
                  <c:v>154.18337078914126</c:v>
                </c:pt>
                <c:pt idx="75">
                  <c:v>155.68859269267884</c:v>
                </c:pt>
                <c:pt idx="76">
                  <c:v>162.58269412984339</c:v>
                </c:pt>
                <c:pt idx="77">
                  <c:v>164.6178725207416</c:v>
                </c:pt>
                <c:pt idx="78">
                  <c:v>167.02058076548187</c:v>
                </c:pt>
                <c:pt idx="79">
                  <c:v>168.50433018475931</c:v>
                </c:pt>
                <c:pt idx="80">
                  <c:v>168.53085166502083</c:v>
                </c:pt>
                <c:pt idx="81">
                  <c:v>172.75427963191615</c:v>
                </c:pt>
                <c:pt idx="82">
                  <c:v>172.84096034461521</c:v>
                </c:pt>
                <c:pt idx="83">
                  <c:v>176.03574174732321</c:v>
                </c:pt>
                <c:pt idx="84">
                  <c:v>177.59857936391188</c:v>
                </c:pt>
                <c:pt idx="85">
                  <c:v>178.10578039827573</c:v>
                </c:pt>
                <c:pt idx="86">
                  <c:v>179.36930471035424</c:v>
                </c:pt>
                <c:pt idx="87">
                  <c:v>180.51555066116683</c:v>
                </c:pt>
                <c:pt idx="88">
                  <c:v>182.06370371278095</c:v>
                </c:pt>
                <c:pt idx="89">
                  <c:v>183.78222367210043</c:v>
                </c:pt>
                <c:pt idx="90">
                  <c:v>188.66416565065524</c:v>
                </c:pt>
                <c:pt idx="91">
                  <c:v>189.37959617513707</c:v>
                </c:pt>
                <c:pt idx="92">
                  <c:v>191.0936824711498</c:v>
                </c:pt>
                <c:pt idx="93">
                  <c:v>195.99573359024188</c:v>
                </c:pt>
                <c:pt idx="94">
                  <c:v>196.16637693014846</c:v>
                </c:pt>
                <c:pt idx="95">
                  <c:v>198.14180491568482</c:v>
                </c:pt>
                <c:pt idx="96">
                  <c:v>199.0606429195729</c:v>
                </c:pt>
                <c:pt idx="97">
                  <c:v>199.46012667087527</c:v>
                </c:pt>
                <c:pt idx="98">
                  <c:v>204.02408811971745</c:v>
                </c:pt>
                <c:pt idx="99">
                  <c:v>204.08528410963274</c:v>
                </c:pt>
                <c:pt idx="100">
                  <c:v>204.15488420136495</c:v>
                </c:pt>
                <c:pt idx="101">
                  <c:v>205.79263432442878</c:v>
                </c:pt>
                <c:pt idx="102">
                  <c:v>206.55134689037476</c:v>
                </c:pt>
                <c:pt idx="103">
                  <c:v>209.25834040206655</c:v>
                </c:pt>
                <c:pt idx="104">
                  <c:v>209.6277022650508</c:v>
                </c:pt>
                <c:pt idx="105">
                  <c:v>210.74312233027305</c:v>
                </c:pt>
                <c:pt idx="106">
                  <c:v>210.92781975736486</c:v>
                </c:pt>
                <c:pt idx="107">
                  <c:v>211.26906163414392</c:v>
                </c:pt>
                <c:pt idx="108">
                  <c:v>213.03167517048738</c:v>
                </c:pt>
                <c:pt idx="109">
                  <c:v>215.44159741936235</c:v>
                </c:pt>
                <c:pt idx="110">
                  <c:v>216.58422824371996</c:v>
                </c:pt>
                <c:pt idx="111">
                  <c:v>217.93380997510187</c:v>
                </c:pt>
                <c:pt idx="112">
                  <c:v>218.61570720093428</c:v>
                </c:pt>
                <c:pt idx="113">
                  <c:v>222.22896675748598</c:v>
                </c:pt>
                <c:pt idx="114">
                  <c:v>224.27460001974848</c:v>
                </c:pt>
                <c:pt idx="115">
                  <c:v>224.38523720694005</c:v>
                </c:pt>
                <c:pt idx="116">
                  <c:v>226.09142436849174</c:v>
                </c:pt>
                <c:pt idx="117">
                  <c:v>227.01327411573857</c:v>
                </c:pt>
                <c:pt idx="118">
                  <c:v>227.73775975282382</c:v>
                </c:pt>
                <c:pt idx="119">
                  <c:v>233.18108620656258</c:v>
                </c:pt>
                <c:pt idx="120">
                  <c:v>238.05070843962417</c:v>
                </c:pt>
                <c:pt idx="121">
                  <c:v>241.60476933857004</c:v>
                </c:pt>
                <c:pt idx="122">
                  <c:v>243.02707816649982</c:v>
                </c:pt>
                <c:pt idx="123">
                  <c:v>245.36742793325999</c:v>
                </c:pt>
                <c:pt idx="124">
                  <c:v>247.29710309204128</c:v>
                </c:pt>
                <c:pt idx="125">
                  <c:v>250.76668601315504</c:v>
                </c:pt>
                <c:pt idx="126">
                  <c:v>253.21983352654456</c:v>
                </c:pt>
                <c:pt idx="127">
                  <c:v>264.94054712114524</c:v>
                </c:pt>
                <c:pt idx="128">
                  <c:v>265.80771117327015</c:v>
                </c:pt>
                <c:pt idx="129">
                  <c:v>266.88430921207021</c:v>
                </c:pt>
                <c:pt idx="130">
                  <c:v>267.00283271772435</c:v>
                </c:pt>
                <c:pt idx="131">
                  <c:v>268.1583735132632</c:v>
                </c:pt>
                <c:pt idx="132">
                  <c:v>268.16906912913447</c:v>
                </c:pt>
                <c:pt idx="133">
                  <c:v>271.14683521901208</c:v>
                </c:pt>
                <c:pt idx="134">
                  <c:v>271.60405585664938</c:v>
                </c:pt>
                <c:pt idx="135">
                  <c:v>271.65721022801193</c:v>
                </c:pt>
                <c:pt idx="136">
                  <c:v>273.16709206771333</c:v>
                </c:pt>
                <c:pt idx="137">
                  <c:v>274.5621548727151</c:v>
                </c:pt>
                <c:pt idx="138">
                  <c:v>277.39025453380071</c:v>
                </c:pt>
                <c:pt idx="139">
                  <c:v>277.83418061497565</c:v>
                </c:pt>
                <c:pt idx="140">
                  <c:v>278.00416306273701</c:v>
                </c:pt>
                <c:pt idx="141">
                  <c:v>278.0214638166662</c:v>
                </c:pt>
                <c:pt idx="142">
                  <c:v>279.59979560808489</c:v>
                </c:pt>
                <c:pt idx="143">
                  <c:v>282.26373223944222</c:v>
                </c:pt>
                <c:pt idx="144">
                  <c:v>282.83789840254377</c:v>
                </c:pt>
                <c:pt idx="145">
                  <c:v>284.30199630291946</c:v>
                </c:pt>
                <c:pt idx="146">
                  <c:v>284.3709351779255</c:v>
                </c:pt>
                <c:pt idx="147">
                  <c:v>288.78831587921457</c:v>
                </c:pt>
                <c:pt idx="148">
                  <c:v>289.89767050274287</c:v>
                </c:pt>
                <c:pt idx="149">
                  <c:v>290.06662789681673</c:v>
                </c:pt>
                <c:pt idx="150">
                  <c:v>297.17688169310094</c:v>
                </c:pt>
                <c:pt idx="151">
                  <c:v>297.40070798696001</c:v>
                </c:pt>
                <c:pt idx="152">
                  <c:v>297.56108723754164</c:v>
                </c:pt>
                <c:pt idx="153">
                  <c:v>302.15665835164407</c:v>
                </c:pt>
                <c:pt idx="154">
                  <c:v>305.73225063219087</c:v>
                </c:pt>
                <c:pt idx="155">
                  <c:v>306.30862614057406</c:v>
                </c:pt>
                <c:pt idx="156">
                  <c:v>308.19367780876331</c:v>
                </c:pt>
                <c:pt idx="157">
                  <c:v>314.97671556602421</c:v>
                </c:pt>
                <c:pt idx="158">
                  <c:v>315.36493224075969</c:v>
                </c:pt>
                <c:pt idx="159">
                  <c:v>315.41491545466511</c:v>
                </c:pt>
                <c:pt idx="160">
                  <c:v>316.15559234539279</c:v>
                </c:pt>
                <c:pt idx="161">
                  <c:v>320.61111369982552</c:v>
                </c:pt>
                <c:pt idx="162">
                  <c:v>323.90112684802659</c:v>
                </c:pt>
                <c:pt idx="163">
                  <c:v>326.7241770256839</c:v>
                </c:pt>
                <c:pt idx="164">
                  <c:v>328.46399679234298</c:v>
                </c:pt>
                <c:pt idx="165">
                  <c:v>328.7733503938648</c:v>
                </c:pt>
                <c:pt idx="166">
                  <c:v>328.87500038380227</c:v>
                </c:pt>
                <c:pt idx="167">
                  <c:v>330.1143167801149</c:v>
                </c:pt>
                <c:pt idx="168">
                  <c:v>330.51690112229301</c:v>
                </c:pt>
                <c:pt idx="169">
                  <c:v>334.49476338518576</c:v>
                </c:pt>
                <c:pt idx="170">
                  <c:v>334.56887152311725</c:v>
                </c:pt>
                <c:pt idx="171">
                  <c:v>337.51393652423826</c:v>
                </c:pt>
                <c:pt idx="172">
                  <c:v>337.53794169005238</c:v>
                </c:pt>
                <c:pt idx="173">
                  <c:v>338.33525615364988</c:v>
                </c:pt>
                <c:pt idx="174">
                  <c:v>338.60879015767495</c:v>
                </c:pt>
                <c:pt idx="175">
                  <c:v>339.85365124376165</c:v>
                </c:pt>
                <c:pt idx="176">
                  <c:v>345.82759859722859</c:v>
                </c:pt>
                <c:pt idx="177">
                  <c:v>346.60644178342648</c:v>
                </c:pt>
                <c:pt idx="178">
                  <c:v>348.66737347441341</c:v>
                </c:pt>
                <c:pt idx="179">
                  <c:v>351.69711738792381</c:v>
                </c:pt>
                <c:pt idx="180">
                  <c:v>352.02662866505517</c:v>
                </c:pt>
                <c:pt idx="181">
                  <c:v>352.17382230053551</c:v>
                </c:pt>
                <c:pt idx="182">
                  <c:v>352.5884562983818</c:v>
                </c:pt>
                <c:pt idx="183">
                  <c:v>354.70704694353316</c:v>
                </c:pt>
                <c:pt idx="184">
                  <c:v>355.14239513967192</c:v>
                </c:pt>
                <c:pt idx="185">
                  <c:v>356.27708983430813</c:v>
                </c:pt>
                <c:pt idx="186">
                  <c:v>360.87353518601145</c:v>
                </c:pt>
                <c:pt idx="187">
                  <c:v>368.27957825377246</c:v>
                </c:pt>
                <c:pt idx="188">
                  <c:v>373.50759496782058</c:v>
                </c:pt>
                <c:pt idx="189">
                  <c:v>373.61879230169069</c:v>
                </c:pt>
                <c:pt idx="190">
                  <c:v>375.60575297129759</c:v>
                </c:pt>
                <c:pt idx="191">
                  <c:v>376.78121681452302</c:v>
                </c:pt>
                <c:pt idx="192">
                  <c:v>380.2413626057392</c:v>
                </c:pt>
                <c:pt idx="193">
                  <c:v>383.23191704802912</c:v>
                </c:pt>
                <c:pt idx="194">
                  <c:v>388.6931274423776</c:v>
                </c:pt>
                <c:pt idx="195">
                  <c:v>395.44494082265908</c:v>
                </c:pt>
                <c:pt idx="196">
                  <c:v>397.40443629916228</c:v>
                </c:pt>
                <c:pt idx="197">
                  <c:v>397.74812386943574</c:v>
                </c:pt>
                <c:pt idx="198">
                  <c:v>401.102432791127</c:v>
                </c:pt>
                <c:pt idx="199">
                  <c:v>404.25738275416717</c:v>
                </c:pt>
                <c:pt idx="200">
                  <c:v>415.17621862512368</c:v>
                </c:pt>
                <c:pt idx="201">
                  <c:v>415.19412268299936</c:v>
                </c:pt>
                <c:pt idx="202">
                  <c:v>415.62051778707087</c:v>
                </c:pt>
                <c:pt idx="203">
                  <c:v>415.88650648328326</c:v>
                </c:pt>
                <c:pt idx="204">
                  <c:v>416.63858732209309</c:v>
                </c:pt>
                <c:pt idx="205">
                  <c:v>422.76094126401046</c:v>
                </c:pt>
                <c:pt idx="206">
                  <c:v>424.0007712317647</c:v>
                </c:pt>
                <c:pt idx="207">
                  <c:v>426.18763490830082</c:v>
                </c:pt>
                <c:pt idx="208">
                  <c:v>427.55916754723188</c:v>
                </c:pt>
                <c:pt idx="209">
                  <c:v>428.31211210464039</c:v>
                </c:pt>
                <c:pt idx="210">
                  <c:v>429.29738563417487</c:v>
                </c:pt>
                <c:pt idx="211">
                  <c:v>431.20548542607798</c:v>
                </c:pt>
                <c:pt idx="212">
                  <c:v>432.11127078568057</c:v>
                </c:pt>
                <c:pt idx="213">
                  <c:v>435.49799353960373</c:v>
                </c:pt>
                <c:pt idx="214">
                  <c:v>436.10280561362225</c:v>
                </c:pt>
                <c:pt idx="215">
                  <c:v>436.67282181060386</c:v>
                </c:pt>
                <c:pt idx="216">
                  <c:v>443.00017721482124</c:v>
                </c:pt>
                <c:pt idx="217">
                  <c:v>445.82038724099294</c:v>
                </c:pt>
                <c:pt idx="218">
                  <c:v>446.51153931329424</c:v>
                </c:pt>
                <c:pt idx="219">
                  <c:v>447.79732242825924</c:v>
                </c:pt>
                <c:pt idx="220">
                  <c:v>448.40753744811525</c:v>
                </c:pt>
                <c:pt idx="221">
                  <c:v>448.49997921088135</c:v>
                </c:pt>
                <c:pt idx="222">
                  <c:v>449.95336233400582</c:v>
                </c:pt>
                <c:pt idx="223">
                  <c:v>450.09954806180747</c:v>
                </c:pt>
                <c:pt idx="224">
                  <c:v>450.41137774015834</c:v>
                </c:pt>
                <c:pt idx="225">
                  <c:v>450.51844921089787</c:v>
                </c:pt>
                <c:pt idx="226">
                  <c:v>450.61920602313188</c:v>
                </c:pt>
                <c:pt idx="227">
                  <c:v>450.87015401578498</c:v>
                </c:pt>
                <c:pt idx="228">
                  <c:v>452.50386341276732</c:v>
                </c:pt>
                <c:pt idx="229">
                  <c:v>452.57695781712039</c:v>
                </c:pt>
                <c:pt idx="230">
                  <c:v>453.60658718727979</c:v>
                </c:pt>
                <c:pt idx="231">
                  <c:v>455.06389378641381</c:v>
                </c:pt>
                <c:pt idx="232">
                  <c:v>455.07660509677947</c:v>
                </c:pt>
                <c:pt idx="233">
                  <c:v>455.36421942827781</c:v>
                </c:pt>
                <c:pt idx="234">
                  <c:v>456.28721952277175</c:v>
                </c:pt>
                <c:pt idx="235">
                  <c:v>458.88268133888425</c:v>
                </c:pt>
                <c:pt idx="236">
                  <c:v>459.97780219611849</c:v>
                </c:pt>
                <c:pt idx="237">
                  <c:v>460.58735963152833</c:v>
                </c:pt>
                <c:pt idx="238">
                  <c:v>461.92183202274742</c:v>
                </c:pt>
                <c:pt idx="239">
                  <c:v>462.12324725133163</c:v>
                </c:pt>
                <c:pt idx="240">
                  <c:v>462.42474989937335</c:v>
                </c:pt>
                <c:pt idx="241">
                  <c:v>467.39473125782729</c:v>
                </c:pt>
                <c:pt idx="242">
                  <c:v>478.33153550199467</c:v>
                </c:pt>
                <c:pt idx="243">
                  <c:v>479.97041150322417</c:v>
                </c:pt>
                <c:pt idx="244">
                  <c:v>482.54798929523423</c:v>
                </c:pt>
                <c:pt idx="245">
                  <c:v>483.58405512869405</c:v>
                </c:pt>
                <c:pt idx="246">
                  <c:v>484.45401936502134</c:v>
                </c:pt>
                <c:pt idx="247">
                  <c:v>485.7367813318225</c:v>
                </c:pt>
                <c:pt idx="248">
                  <c:v>486.9011337369119</c:v>
                </c:pt>
                <c:pt idx="249">
                  <c:v>487.53633203913148</c:v>
                </c:pt>
                <c:pt idx="250">
                  <c:v>491.29614201878053</c:v>
                </c:pt>
                <c:pt idx="251">
                  <c:v>494.4349806178783</c:v>
                </c:pt>
                <c:pt idx="252">
                  <c:v>495.28101487543387</c:v>
                </c:pt>
                <c:pt idx="253">
                  <c:v>496.0354276719163</c:v>
                </c:pt>
                <c:pt idx="254">
                  <c:v>496.41307730401996</c:v>
                </c:pt>
                <c:pt idx="255">
                  <c:v>496.88694140313481</c:v>
                </c:pt>
                <c:pt idx="256">
                  <c:v>497.3618202871171</c:v>
                </c:pt>
                <c:pt idx="257">
                  <c:v>499.47763745446889</c:v>
                </c:pt>
                <c:pt idx="258">
                  <c:v>499.4913677200351</c:v>
                </c:pt>
                <c:pt idx="259">
                  <c:v>499.66376409456979</c:v>
                </c:pt>
                <c:pt idx="260">
                  <c:v>503.02406250802835</c:v>
                </c:pt>
                <c:pt idx="261">
                  <c:v>508.68089672342541</c:v>
                </c:pt>
                <c:pt idx="262">
                  <c:v>512.54210393483424</c:v>
                </c:pt>
                <c:pt idx="263">
                  <c:v>515.86883412780014</c:v>
                </c:pt>
                <c:pt idx="264">
                  <c:v>518.41415928912704</c:v>
                </c:pt>
                <c:pt idx="265">
                  <c:v>520.37586821577679</c:v>
                </c:pt>
                <c:pt idx="266">
                  <c:v>521.82111170823384</c:v>
                </c:pt>
                <c:pt idx="267">
                  <c:v>523.49164550822684</c:v>
                </c:pt>
                <c:pt idx="268">
                  <c:v>524.71097951577099</c:v>
                </c:pt>
                <c:pt idx="269">
                  <c:v>526.75307921702495</c:v>
                </c:pt>
                <c:pt idx="270">
                  <c:v>528.86244018045704</c:v>
                </c:pt>
                <c:pt idx="271">
                  <c:v>528.97458444128563</c:v>
                </c:pt>
                <c:pt idx="272">
                  <c:v>530.6204415504468</c:v>
                </c:pt>
                <c:pt idx="273">
                  <c:v>534.74820919256047</c:v>
                </c:pt>
                <c:pt idx="274">
                  <c:v>540.67089508906884</c:v>
                </c:pt>
                <c:pt idx="275">
                  <c:v>542.73421145983468</c:v>
                </c:pt>
                <c:pt idx="276">
                  <c:v>545.33372032131979</c:v>
                </c:pt>
                <c:pt idx="277">
                  <c:v>546.7334034486579</c:v>
                </c:pt>
                <c:pt idx="278">
                  <c:v>548.74166275763298</c:v>
                </c:pt>
                <c:pt idx="279">
                  <c:v>550.09582463169806</c:v>
                </c:pt>
                <c:pt idx="280">
                  <c:v>552.96906861773482</c:v>
                </c:pt>
                <c:pt idx="281">
                  <c:v>553.37966207420141</c:v>
                </c:pt>
                <c:pt idx="282">
                  <c:v>553.97659243085002</c:v>
                </c:pt>
                <c:pt idx="283">
                  <c:v>555.22864322513806</c:v>
                </c:pt>
                <c:pt idx="284">
                  <c:v>555.31803149522113</c:v>
                </c:pt>
                <c:pt idx="285">
                  <c:v>555.53178299370825</c:v>
                </c:pt>
                <c:pt idx="286">
                  <c:v>562.09746807831652</c:v>
                </c:pt>
                <c:pt idx="287">
                  <c:v>562.57664997933057</c:v>
                </c:pt>
                <c:pt idx="288">
                  <c:v>565.60409790235178</c:v>
                </c:pt>
                <c:pt idx="289">
                  <c:v>566.08582362985362</c:v>
                </c:pt>
                <c:pt idx="290">
                  <c:v>568.20873655519028</c:v>
                </c:pt>
                <c:pt idx="291">
                  <c:v>572.96858634788191</c:v>
                </c:pt>
                <c:pt idx="292">
                  <c:v>572.98209728372046</c:v>
                </c:pt>
                <c:pt idx="293">
                  <c:v>573.38327012573711</c:v>
                </c:pt>
                <c:pt idx="294">
                  <c:v>578.60102496023626</c:v>
                </c:pt>
                <c:pt idx="295">
                  <c:v>580.10530910802925</c:v>
                </c:pt>
                <c:pt idx="296">
                  <c:v>583.87189276566517</c:v>
                </c:pt>
                <c:pt idx="297">
                  <c:v>584.03402778476368</c:v>
                </c:pt>
                <c:pt idx="298">
                  <c:v>585.11588062839189</c:v>
                </c:pt>
                <c:pt idx="299">
                  <c:v>586.54512799811448</c:v>
                </c:pt>
                <c:pt idx="300">
                  <c:v>589.24406128908879</c:v>
                </c:pt>
                <c:pt idx="301">
                  <c:v>589.79750747124592</c:v>
                </c:pt>
                <c:pt idx="302">
                  <c:v>590.03262488553901</c:v>
                </c:pt>
                <c:pt idx="303">
                  <c:v>596.001003354511</c:v>
                </c:pt>
                <c:pt idx="304">
                  <c:v>597.64761027912198</c:v>
                </c:pt>
                <c:pt idx="305">
                  <c:v>600.08951319230141</c:v>
                </c:pt>
                <c:pt idx="306">
                  <c:v>601.07503975380928</c:v>
                </c:pt>
                <c:pt idx="307">
                  <c:v>601.74049030608353</c:v>
                </c:pt>
                <c:pt idx="308">
                  <c:v>602.47966969759011</c:v>
                </c:pt>
                <c:pt idx="309">
                  <c:v>603.04985777223044</c:v>
                </c:pt>
                <c:pt idx="310">
                  <c:v>608.10670154496415</c:v>
                </c:pt>
                <c:pt idx="311">
                  <c:v>609.9294018328884</c:v>
                </c:pt>
                <c:pt idx="312">
                  <c:v>610.83920242449335</c:v>
                </c:pt>
                <c:pt idx="313">
                  <c:v>613.51930821635722</c:v>
                </c:pt>
                <c:pt idx="314">
                  <c:v>616.7259484724259</c:v>
                </c:pt>
                <c:pt idx="315">
                  <c:v>624.51890286584683</c:v>
                </c:pt>
                <c:pt idx="316">
                  <c:v>629.05636614412913</c:v>
                </c:pt>
                <c:pt idx="317">
                  <c:v>631.37086596609265</c:v>
                </c:pt>
                <c:pt idx="318">
                  <c:v>632.34305562737632</c:v>
                </c:pt>
                <c:pt idx="319">
                  <c:v>633.45253265837948</c:v>
                </c:pt>
                <c:pt idx="320">
                  <c:v>635.88020614344339</c:v>
                </c:pt>
                <c:pt idx="321">
                  <c:v>638.84364903448898</c:v>
                </c:pt>
                <c:pt idx="322">
                  <c:v>639.89304591908592</c:v>
                </c:pt>
                <c:pt idx="323">
                  <c:v>640.64708157708878</c:v>
                </c:pt>
                <c:pt idx="324">
                  <c:v>640.88620504487096</c:v>
                </c:pt>
                <c:pt idx="325">
                  <c:v>643.29808121697533</c:v>
                </c:pt>
                <c:pt idx="326">
                  <c:v>643.75374181153097</c:v>
                </c:pt>
                <c:pt idx="327">
                  <c:v>644.06198995410659</c:v>
                </c:pt>
                <c:pt idx="328">
                  <c:v>645.92997983531382</c:v>
                </c:pt>
                <c:pt idx="329">
                  <c:v>649.62189315693843</c:v>
                </c:pt>
                <c:pt idx="330">
                  <c:v>653.22552185299719</c:v>
                </c:pt>
                <c:pt idx="331">
                  <c:v>653.62539918177299</c:v>
                </c:pt>
                <c:pt idx="332">
                  <c:v>653.67773574099124</c:v>
                </c:pt>
                <c:pt idx="333">
                  <c:v>653.98963973085483</c:v>
                </c:pt>
                <c:pt idx="334">
                  <c:v>656.80893513299611</c:v>
                </c:pt>
                <c:pt idx="335">
                  <c:v>657.60503433353028</c:v>
                </c:pt>
                <c:pt idx="336">
                  <c:v>658.09993293864295</c:v>
                </c:pt>
                <c:pt idx="337">
                  <c:v>660.96689222784005</c:v>
                </c:pt>
                <c:pt idx="338">
                  <c:v>664.12795017891722</c:v>
                </c:pt>
                <c:pt idx="339">
                  <c:v>666.28730649971772</c:v>
                </c:pt>
                <c:pt idx="340">
                  <c:v>670.65250562498841</c:v>
                </c:pt>
                <c:pt idx="341">
                  <c:v>673.82428234766337</c:v>
                </c:pt>
                <c:pt idx="342">
                  <c:v>677.51694285817109</c:v>
                </c:pt>
                <c:pt idx="343">
                  <c:v>678.22537782512188</c:v>
                </c:pt>
                <c:pt idx="344">
                  <c:v>679.55763624027156</c:v>
                </c:pt>
                <c:pt idx="345">
                  <c:v>681.92073773530115</c:v>
                </c:pt>
                <c:pt idx="346">
                  <c:v>685.37493407725151</c:v>
                </c:pt>
                <c:pt idx="347">
                  <c:v>689.90242370807539</c:v>
                </c:pt>
                <c:pt idx="348">
                  <c:v>691.93826516286879</c:v>
                </c:pt>
                <c:pt idx="349">
                  <c:v>694.06595655662898</c:v>
                </c:pt>
                <c:pt idx="350">
                  <c:v>695.7598996095013</c:v>
                </c:pt>
                <c:pt idx="351">
                  <c:v>698.68663657832656</c:v>
                </c:pt>
                <c:pt idx="352">
                  <c:v>700.75853965599151</c:v>
                </c:pt>
                <c:pt idx="353">
                  <c:v>701.32923524338878</c:v>
                </c:pt>
                <c:pt idx="354">
                  <c:v>701.43917114764815</c:v>
                </c:pt>
                <c:pt idx="355">
                  <c:v>701.58627514325451</c:v>
                </c:pt>
                <c:pt idx="356">
                  <c:v>701.78130784403743</c:v>
                </c:pt>
                <c:pt idx="357">
                  <c:v>701.9543985504032</c:v>
                </c:pt>
                <c:pt idx="358">
                  <c:v>704.01289847923954</c:v>
                </c:pt>
                <c:pt idx="359">
                  <c:v>704.21923230570485</c:v>
                </c:pt>
                <c:pt idx="360">
                  <c:v>707.07349176543164</c:v>
                </c:pt>
                <c:pt idx="361">
                  <c:v>707.26214274522056</c:v>
                </c:pt>
                <c:pt idx="362">
                  <c:v>708.27207105533262</c:v>
                </c:pt>
                <c:pt idx="363">
                  <c:v>709.35265540855835</c:v>
                </c:pt>
                <c:pt idx="364">
                  <c:v>709.52633998141232</c:v>
                </c:pt>
                <c:pt idx="365">
                  <c:v>710.14717769730476</c:v>
                </c:pt>
                <c:pt idx="366">
                  <c:v>711.05903119394225</c:v>
                </c:pt>
                <c:pt idx="367">
                  <c:v>711.59959426993294</c:v>
                </c:pt>
                <c:pt idx="368">
                  <c:v>713.19884554737382</c:v>
                </c:pt>
                <c:pt idx="369">
                  <c:v>713.47471948968257</c:v>
                </c:pt>
                <c:pt idx="370">
                  <c:v>713.64327103491178</c:v>
                </c:pt>
                <c:pt idx="371">
                  <c:v>715.91001939454532</c:v>
                </c:pt>
                <c:pt idx="372">
                  <c:v>717.55216117227405</c:v>
                </c:pt>
                <c:pt idx="373">
                  <c:v>719.73174402664711</c:v>
                </c:pt>
                <c:pt idx="374">
                  <c:v>719.86950815711805</c:v>
                </c:pt>
                <c:pt idx="375">
                  <c:v>724.37728083553111</c:v>
                </c:pt>
                <c:pt idx="376">
                  <c:v>724.83095009115857</c:v>
                </c:pt>
                <c:pt idx="377">
                  <c:v>729.46543033117814</c:v>
                </c:pt>
                <c:pt idx="378">
                  <c:v>729.49647946458504</c:v>
                </c:pt>
                <c:pt idx="379">
                  <c:v>734.21904312758488</c:v>
                </c:pt>
                <c:pt idx="380">
                  <c:v>735.80687300218324</c:v>
                </c:pt>
                <c:pt idx="381">
                  <c:v>738.26495206352752</c:v>
                </c:pt>
                <c:pt idx="382">
                  <c:v>738.72839830048633</c:v>
                </c:pt>
                <c:pt idx="383">
                  <c:v>741.99255104922531</c:v>
                </c:pt>
                <c:pt idx="384">
                  <c:v>742.96718000519388</c:v>
                </c:pt>
                <c:pt idx="385">
                  <c:v>745.53891016807029</c:v>
                </c:pt>
                <c:pt idx="386">
                  <c:v>746.07659085745183</c:v>
                </c:pt>
                <c:pt idx="387">
                  <c:v>748.99840858179732</c:v>
                </c:pt>
                <c:pt idx="388">
                  <c:v>750.86796947073299</c:v>
                </c:pt>
                <c:pt idx="389">
                  <c:v>752.25918320622748</c:v>
                </c:pt>
                <c:pt idx="390">
                  <c:v>752.70912464423895</c:v>
                </c:pt>
                <c:pt idx="391">
                  <c:v>756.96744248756249</c:v>
                </c:pt>
                <c:pt idx="392">
                  <c:v>761.43655527292333</c:v>
                </c:pt>
                <c:pt idx="393">
                  <c:v>762.96239336773033</c:v>
                </c:pt>
                <c:pt idx="394">
                  <c:v>763.04682342554213</c:v>
                </c:pt>
                <c:pt idx="395">
                  <c:v>764.57316235634187</c:v>
                </c:pt>
                <c:pt idx="396">
                  <c:v>768.78005341418202</c:v>
                </c:pt>
                <c:pt idx="397">
                  <c:v>770.44045995924637</c:v>
                </c:pt>
                <c:pt idx="398">
                  <c:v>771.10629152716604</c:v>
                </c:pt>
                <c:pt idx="399">
                  <c:v>775.65858188431355</c:v>
                </c:pt>
                <c:pt idx="400">
                  <c:v>777.4709933318253</c:v>
                </c:pt>
                <c:pt idx="401">
                  <c:v>784.08554569016974</c:v>
                </c:pt>
                <c:pt idx="402">
                  <c:v>784.74851818950037</c:v>
                </c:pt>
                <c:pt idx="403">
                  <c:v>786.19186938559267</c:v>
                </c:pt>
                <c:pt idx="404">
                  <c:v>786.47174135580997</c:v>
                </c:pt>
                <c:pt idx="405">
                  <c:v>788.39112369777786</c:v>
                </c:pt>
                <c:pt idx="406">
                  <c:v>788.47442983594476</c:v>
                </c:pt>
                <c:pt idx="407">
                  <c:v>789.65670313782744</c:v>
                </c:pt>
                <c:pt idx="408">
                  <c:v>791.49171733329683</c:v>
                </c:pt>
                <c:pt idx="409">
                  <c:v>792.59478501832314</c:v>
                </c:pt>
                <c:pt idx="410">
                  <c:v>792.72304848473482</c:v>
                </c:pt>
                <c:pt idx="411">
                  <c:v>797.92433963941255</c:v>
                </c:pt>
                <c:pt idx="412">
                  <c:v>798.07943642300393</c:v>
                </c:pt>
                <c:pt idx="413">
                  <c:v>801.29580776576859</c:v>
                </c:pt>
                <c:pt idx="414">
                  <c:v>813.35813815496488</c:v>
                </c:pt>
                <c:pt idx="415">
                  <c:v>813.72735934333423</c:v>
                </c:pt>
                <c:pt idx="416">
                  <c:v>814.84243036025111</c:v>
                </c:pt>
                <c:pt idx="417">
                  <c:v>822.3008066204352</c:v>
                </c:pt>
                <c:pt idx="418">
                  <c:v>825.70387326276443</c:v>
                </c:pt>
                <c:pt idx="419">
                  <c:v>829.80018756377581</c:v>
                </c:pt>
                <c:pt idx="420">
                  <c:v>830.08808979062871</c:v>
                </c:pt>
                <c:pt idx="421">
                  <c:v>833.65561396533792</c:v>
                </c:pt>
                <c:pt idx="422">
                  <c:v>835.17773254716155</c:v>
                </c:pt>
                <c:pt idx="423">
                  <c:v>844.44153640004765</c:v>
                </c:pt>
                <c:pt idx="424">
                  <c:v>846.67234040738606</c:v>
                </c:pt>
                <c:pt idx="425">
                  <c:v>847.12143566140151</c:v>
                </c:pt>
                <c:pt idx="426">
                  <c:v>847.78683685759654</c:v>
                </c:pt>
                <c:pt idx="427">
                  <c:v>854.47215411685909</c:v>
                </c:pt>
                <c:pt idx="428">
                  <c:v>854.84808728216615</c:v>
                </c:pt>
                <c:pt idx="429">
                  <c:v>856.88598305457379</c:v>
                </c:pt>
                <c:pt idx="430">
                  <c:v>857.92235436490364</c:v>
                </c:pt>
                <c:pt idx="431">
                  <c:v>858.99369463780874</c:v>
                </c:pt>
                <c:pt idx="432">
                  <c:v>859.33197560850056</c:v>
                </c:pt>
                <c:pt idx="433">
                  <c:v>860.5652773601131</c:v>
                </c:pt>
                <c:pt idx="434">
                  <c:v>862.45616145404711</c:v>
                </c:pt>
                <c:pt idx="435">
                  <c:v>866.5582498336812</c:v>
                </c:pt>
                <c:pt idx="436">
                  <c:v>868.54884002584004</c:v>
                </c:pt>
                <c:pt idx="437">
                  <c:v>869.08347653383726</c:v>
                </c:pt>
                <c:pt idx="438">
                  <c:v>871.21707679833469</c:v>
                </c:pt>
                <c:pt idx="439">
                  <c:v>878.53241020232929</c:v>
                </c:pt>
                <c:pt idx="440">
                  <c:v>879.87255625002103</c:v>
                </c:pt>
                <c:pt idx="441">
                  <c:v>881.68305457048086</c:v>
                </c:pt>
                <c:pt idx="442">
                  <c:v>881.74237292695545</c:v>
                </c:pt>
                <c:pt idx="443">
                  <c:v>884.02376971532738</c:v>
                </c:pt>
                <c:pt idx="444">
                  <c:v>885.12193893471124</c:v>
                </c:pt>
                <c:pt idx="445">
                  <c:v>886.11003929615481</c:v>
                </c:pt>
                <c:pt idx="446">
                  <c:v>888.67679395415144</c:v>
                </c:pt>
                <c:pt idx="447">
                  <c:v>890.33246492551859</c:v>
                </c:pt>
                <c:pt idx="448">
                  <c:v>895.7998208688133</c:v>
                </c:pt>
                <c:pt idx="449">
                  <c:v>896.63691846183394</c:v>
                </c:pt>
                <c:pt idx="450">
                  <c:v>903.35092312727454</c:v>
                </c:pt>
                <c:pt idx="451">
                  <c:v>903.45374182718979</c:v>
                </c:pt>
                <c:pt idx="452">
                  <c:v>905.78211832783916</c:v>
                </c:pt>
                <c:pt idx="453">
                  <c:v>905.97846207494956</c:v>
                </c:pt>
                <c:pt idx="454">
                  <c:v>906.50947783635036</c:v>
                </c:pt>
                <c:pt idx="455">
                  <c:v>908.76969886671122</c:v>
                </c:pt>
                <c:pt idx="456">
                  <c:v>908.80117637737487</c:v>
                </c:pt>
                <c:pt idx="457">
                  <c:v>912.49358143184577</c:v>
                </c:pt>
                <c:pt idx="458">
                  <c:v>913.40293901739687</c:v>
                </c:pt>
                <c:pt idx="459">
                  <c:v>914.74194969759208</c:v>
                </c:pt>
                <c:pt idx="460">
                  <c:v>914.93795727134443</c:v>
                </c:pt>
                <c:pt idx="461">
                  <c:v>915.25375439681648</c:v>
                </c:pt>
                <c:pt idx="462">
                  <c:v>927.67916006313988</c:v>
                </c:pt>
                <c:pt idx="463">
                  <c:v>932.1009047932572</c:v>
                </c:pt>
                <c:pt idx="464">
                  <c:v>933.68686428807405</c:v>
                </c:pt>
                <c:pt idx="465">
                  <c:v>935.36856930723616</c:v>
                </c:pt>
                <c:pt idx="466">
                  <c:v>935.96848460735146</c:v>
                </c:pt>
                <c:pt idx="467">
                  <c:v>936.42468815803454</c:v>
                </c:pt>
                <c:pt idx="468">
                  <c:v>938.10613440926647</c:v>
                </c:pt>
                <c:pt idx="469">
                  <c:v>938.70865113154184</c:v>
                </c:pt>
                <c:pt idx="470">
                  <c:v>941.58153211955857</c:v>
                </c:pt>
                <c:pt idx="471">
                  <c:v>941.60763172428335</c:v>
                </c:pt>
                <c:pt idx="472">
                  <c:v>942.74813534925147</c:v>
                </c:pt>
                <c:pt idx="473">
                  <c:v>943.46142137317133</c:v>
                </c:pt>
                <c:pt idx="474">
                  <c:v>943.4674702313921</c:v>
                </c:pt>
                <c:pt idx="475">
                  <c:v>944.3698804398407</c:v>
                </c:pt>
                <c:pt idx="476">
                  <c:v>946.55112336248101</c:v>
                </c:pt>
                <c:pt idx="477">
                  <c:v>947.57253911705266</c:v>
                </c:pt>
                <c:pt idx="478">
                  <c:v>949.55552590365664</c:v>
                </c:pt>
                <c:pt idx="479">
                  <c:v>950.12730415836756</c:v>
                </c:pt>
                <c:pt idx="480">
                  <c:v>952.05862404915092</c:v>
                </c:pt>
                <c:pt idx="481">
                  <c:v>953.59509636892767</c:v>
                </c:pt>
                <c:pt idx="482">
                  <c:v>954.83514409157567</c:v>
                </c:pt>
                <c:pt idx="483">
                  <c:v>956.19282066137009</c:v>
                </c:pt>
                <c:pt idx="484">
                  <c:v>956.47759834680721</c:v>
                </c:pt>
                <c:pt idx="485">
                  <c:v>956.87432291303026</c:v>
                </c:pt>
                <c:pt idx="486">
                  <c:v>957.33187443977033</c:v>
                </c:pt>
                <c:pt idx="487">
                  <c:v>957.74097487074062</c:v>
                </c:pt>
                <c:pt idx="488">
                  <c:v>957.95541128962475</c:v>
                </c:pt>
                <c:pt idx="489">
                  <c:v>958.82370088699952</c:v>
                </c:pt>
                <c:pt idx="490">
                  <c:v>964.7085091474047</c:v>
                </c:pt>
                <c:pt idx="491">
                  <c:v>967.74283575820812</c:v>
                </c:pt>
                <c:pt idx="492">
                  <c:v>968.80491058414486</c:v>
                </c:pt>
                <c:pt idx="493">
                  <c:v>970.09598095781337</c:v>
                </c:pt>
                <c:pt idx="494">
                  <c:v>974.37550776438775</c:v>
                </c:pt>
                <c:pt idx="495">
                  <c:v>977.60544203162237</c:v>
                </c:pt>
                <c:pt idx="496">
                  <c:v>985.95938403096602</c:v>
                </c:pt>
                <c:pt idx="497">
                  <c:v>990.5754264510449</c:v>
                </c:pt>
                <c:pt idx="498">
                  <c:v>994.5576473928669</c:v>
                </c:pt>
                <c:pt idx="499">
                  <c:v>997.63514597977439</c:v>
                </c:pt>
                <c:pt idx="500">
                  <c:v>999.86386287183336</c:v>
                </c:pt>
                <c:pt idx="501">
                  <c:v>1000</c:v>
                </c:pt>
                <c:pt idx="502">
                  <c:v>0</c:v>
                </c:pt>
                <c:pt idx="503">
                  <c:v>0</c:v>
                </c:pt>
              </c:numCache>
            </c:numRef>
          </c:cat>
          <c:val>
            <c:numRef>
              <c:f>'test function'!$AM$6:$AM$509</c:f>
              <c:numCache>
                <c:formatCode>0.000</c:formatCode>
                <c:ptCount val="504"/>
                <c:pt idx="0" formatCode="General">
                  <c:v>0</c:v>
                </c:pt>
                <c:pt idx="1">
                  <c:v>0.24680849624927959</c:v>
                </c:pt>
                <c:pt idx="2">
                  <c:v>0.24689201345221523</c:v>
                </c:pt>
                <c:pt idx="3">
                  <c:v>0.26221422415542883</c:v>
                </c:pt>
                <c:pt idx="4">
                  <c:v>0.28187649422188277</c:v>
                </c:pt>
                <c:pt idx="5">
                  <c:v>0.3027425767995382</c:v>
                </c:pt>
                <c:pt idx="6">
                  <c:v>0.32783671368115552</c:v>
                </c:pt>
                <c:pt idx="7">
                  <c:v>0.34164986040101897</c:v>
                </c:pt>
                <c:pt idx="8">
                  <c:v>0.37299385479624592</c:v>
                </c:pt>
                <c:pt idx="9">
                  <c:v>0.40314457356370381</c:v>
                </c:pt>
                <c:pt idx="10">
                  <c:v>0.4604358968516018</c:v>
                </c:pt>
                <c:pt idx="11">
                  <c:v>0.55964588693055539</c:v>
                </c:pt>
                <c:pt idx="12">
                  <c:v>0.64727575738746346</c:v>
                </c:pt>
                <c:pt idx="13">
                  <c:v>0.66895578934691691</c:v>
                </c:pt>
                <c:pt idx="14">
                  <c:v>0.70499654386472488</c:v>
                </c:pt>
                <c:pt idx="15">
                  <c:v>0.73210572067754465</c:v>
                </c:pt>
                <c:pt idx="16">
                  <c:v>0.7809618136397336</c:v>
                </c:pt>
                <c:pt idx="17">
                  <c:v>0.78322226585312238</c:v>
                </c:pt>
                <c:pt idx="18">
                  <c:v>0.79104700078748402</c:v>
                </c:pt>
                <c:pt idx="19">
                  <c:v>0.80633272436047443</c:v>
                </c:pt>
                <c:pt idx="20">
                  <c:v>0.82317368315741501</c:v>
                </c:pt>
                <c:pt idx="21">
                  <c:v>0.94037581642228374</c:v>
                </c:pt>
                <c:pt idx="22">
                  <c:v>0.95027303186388112</c:v>
                </c:pt>
                <c:pt idx="23">
                  <c:v>0.98945347673525363</c:v>
                </c:pt>
                <c:pt idx="24">
                  <c:v>1.0565059586039791</c:v>
                </c:pt>
                <c:pt idx="25">
                  <c:v>1.0972284207578851</c:v>
                </c:pt>
                <c:pt idx="26">
                  <c:v>1.3163370263046188</c:v>
                </c:pt>
                <c:pt idx="27">
                  <c:v>1.3693005874586801</c:v>
                </c:pt>
                <c:pt idx="28">
                  <c:v>1.3880613218527218</c:v>
                </c:pt>
                <c:pt idx="29">
                  <c:v>1.4541376022809227</c:v>
                </c:pt>
                <c:pt idx="30">
                  <c:v>1.5307865232802369</c:v>
                </c:pt>
                <c:pt idx="31">
                  <c:v>1.6174847560106684</c:v>
                </c:pt>
                <c:pt idx="32">
                  <c:v>1.6334458086822186</c:v>
                </c:pt>
                <c:pt idx="33">
                  <c:v>1.6850137578484774</c:v>
                </c:pt>
                <c:pt idx="34">
                  <c:v>1.687127718906194</c:v>
                </c:pt>
                <c:pt idx="35">
                  <c:v>1.6930488108623427</c:v>
                </c:pt>
                <c:pt idx="36">
                  <c:v>1.8362952879734133</c:v>
                </c:pt>
                <c:pt idx="37">
                  <c:v>1.9065232056618431</c:v>
                </c:pt>
                <c:pt idx="38">
                  <c:v>1.9112908990906652</c:v>
                </c:pt>
                <c:pt idx="39">
                  <c:v>1.9231429116791736</c:v>
                </c:pt>
                <c:pt idx="40">
                  <c:v>1.9503324219359635</c:v>
                </c:pt>
                <c:pt idx="41">
                  <c:v>1.9719435662448879</c:v>
                </c:pt>
                <c:pt idx="42">
                  <c:v>2.0109158524929018</c:v>
                </c:pt>
                <c:pt idx="43">
                  <c:v>2.0631207082026886</c:v>
                </c:pt>
                <c:pt idx="44">
                  <c:v>2.0826718071224817</c:v>
                </c:pt>
                <c:pt idx="45">
                  <c:v>2.1217685673016655</c:v>
                </c:pt>
                <c:pt idx="46">
                  <c:v>2.1223354447977876</c:v>
                </c:pt>
                <c:pt idx="47">
                  <c:v>2.1399878022963299</c:v>
                </c:pt>
                <c:pt idx="48">
                  <c:v>2.1508328354572974</c:v>
                </c:pt>
                <c:pt idx="49">
                  <c:v>2.1882528880270344</c:v>
                </c:pt>
                <c:pt idx="50">
                  <c:v>2.2078186779024338</c:v>
                </c:pt>
                <c:pt idx="51">
                  <c:v>2.2102663984082032</c:v>
                </c:pt>
                <c:pt idx="52">
                  <c:v>2.2416212146987591</c:v>
                </c:pt>
                <c:pt idx="53">
                  <c:v>2.2433475131683482</c:v>
                </c:pt>
                <c:pt idx="54">
                  <c:v>2.2486185910798482</c:v>
                </c:pt>
                <c:pt idx="55">
                  <c:v>2.2661639125256334</c:v>
                </c:pt>
                <c:pt idx="56">
                  <c:v>2.2666823050554243</c:v>
                </c:pt>
                <c:pt idx="57">
                  <c:v>2.2690762966813738</c:v>
                </c:pt>
                <c:pt idx="58">
                  <c:v>2.2714923285474433</c:v>
                </c:pt>
                <c:pt idx="59">
                  <c:v>2.273677805017996</c:v>
                </c:pt>
                <c:pt idx="60">
                  <c:v>2.2743246141351472</c:v>
                </c:pt>
                <c:pt idx="61">
                  <c:v>2.2741529657141455</c:v>
                </c:pt>
                <c:pt idx="62">
                  <c:v>2.2730556960088699</c:v>
                </c:pt>
                <c:pt idx="63">
                  <c:v>2.2719287824873406</c:v>
                </c:pt>
                <c:pt idx="64">
                  <c:v>2.2685101193255615</c:v>
                </c:pt>
                <c:pt idx="65">
                  <c:v>2.2604523573070665</c:v>
                </c:pt>
                <c:pt idx="66">
                  <c:v>2.2539618416617526</c:v>
                </c:pt>
                <c:pt idx="67">
                  <c:v>2.2456988209906377</c:v>
                </c:pt>
                <c:pt idx="68">
                  <c:v>2.2189192142546612</c:v>
                </c:pt>
                <c:pt idx="69">
                  <c:v>2.179911433961788</c:v>
                </c:pt>
                <c:pt idx="70">
                  <c:v>2.1791041199062904</c:v>
                </c:pt>
                <c:pt idx="71">
                  <c:v>2.1641643039928984</c:v>
                </c:pt>
                <c:pt idx="72">
                  <c:v>2.1573212277680627</c:v>
                </c:pt>
                <c:pt idx="73">
                  <c:v>2.1514989649860907</c:v>
                </c:pt>
                <c:pt idx="74">
                  <c:v>2.1419928131832422</c:v>
                </c:pt>
                <c:pt idx="75">
                  <c:v>2.1306574065236905</c:v>
                </c:pt>
                <c:pt idx="76">
                  <c:v>2.0748842451341387</c:v>
                </c:pt>
                <c:pt idx="77">
                  <c:v>2.0573448011917206</c:v>
                </c:pt>
                <c:pt idx="78">
                  <c:v>2.0360884922727962</c:v>
                </c:pt>
                <c:pt idx="79">
                  <c:v>2.022686515751837</c:v>
                </c:pt>
                <c:pt idx="80">
                  <c:v>2.0224451428974337</c:v>
                </c:pt>
                <c:pt idx="81">
                  <c:v>1.9832539845380117</c:v>
                </c:pt>
                <c:pt idx="82">
                  <c:v>1.9824348780232637</c:v>
                </c:pt>
                <c:pt idx="83">
                  <c:v>1.9518745762796996</c:v>
                </c:pt>
                <c:pt idx="84">
                  <c:v>1.9366811075674111</c:v>
                </c:pt>
                <c:pt idx="85">
                  <c:v>1.9317186435877596</c:v>
                </c:pt>
                <c:pt idx="86">
                  <c:v>1.919292659635198</c:v>
                </c:pt>
                <c:pt idx="87">
                  <c:v>1.9079453652040705</c:v>
                </c:pt>
                <c:pt idx="88">
                  <c:v>1.8925144115716619</c:v>
                </c:pt>
                <c:pt idx="89">
                  <c:v>1.8752554327495305</c:v>
                </c:pt>
                <c:pt idx="90">
                  <c:v>1.8255950123230735</c:v>
                </c:pt>
                <c:pt idx="91">
                  <c:v>1.8182511400632717</c:v>
                </c:pt>
                <c:pt idx="92">
                  <c:v>1.8005991299609898</c:v>
                </c:pt>
                <c:pt idx="93">
                  <c:v>1.7497606148152574</c:v>
                </c:pt>
                <c:pt idx="94">
                  <c:v>1.747983459163577</c:v>
                </c:pt>
                <c:pt idx="95">
                  <c:v>1.7273840620551661</c:v>
                </c:pt>
                <c:pt idx="96">
                  <c:v>1.7177886275525123</c:v>
                </c:pt>
                <c:pt idx="97">
                  <c:v>1.7136145931332882</c:v>
                </c:pt>
                <c:pt idx="98">
                  <c:v>1.6658720127876603</c:v>
                </c:pt>
                <c:pt idx="99">
                  <c:v>1.6652315698016358</c:v>
                </c:pt>
                <c:pt idx="100">
                  <c:v>1.6645031769759018</c:v>
                </c:pt>
                <c:pt idx="101">
                  <c:v>1.6473656549231872</c:v>
                </c:pt>
                <c:pt idx="102">
                  <c:v>1.6394290512348462</c:v>
                </c:pt>
                <c:pt idx="103">
                  <c:v>1.6111380183387678</c:v>
                </c:pt>
                <c:pt idx="104">
                  <c:v>1.6072819925263078</c:v>
                </c:pt>
                <c:pt idx="105">
                  <c:v>1.5956451536246632</c:v>
                </c:pt>
                <c:pt idx="106">
                  <c:v>1.593719487677008</c:v>
                </c:pt>
                <c:pt idx="107">
                  <c:v>1.5901626651178913</c:v>
                </c:pt>
                <c:pt idx="108">
                  <c:v>1.5718129159367147</c:v>
                </c:pt>
                <c:pt idx="109">
                  <c:v>1.5467947379490148</c:v>
                </c:pt>
                <c:pt idx="110">
                  <c:v>1.5349657278195379</c:v>
                </c:pt>
                <c:pt idx="111">
                  <c:v>1.5210249822339743</c:v>
                </c:pt>
                <c:pt idx="112">
                  <c:v>1.513994715614521</c:v>
                </c:pt>
                <c:pt idx="113">
                  <c:v>1.4769103742696958</c:v>
                </c:pt>
                <c:pt idx="114">
                  <c:v>1.4560535584925811</c:v>
                </c:pt>
                <c:pt idx="115">
                  <c:v>1.4549286136118573</c:v>
                </c:pt>
                <c:pt idx="116">
                  <c:v>1.4376223811739945</c:v>
                </c:pt>
                <c:pt idx="117">
                  <c:v>1.4283057758221374</c:v>
                </c:pt>
                <c:pt idx="118">
                  <c:v>1.4210011317421174</c:v>
                </c:pt>
                <c:pt idx="119">
                  <c:v>1.3666405676538302</c:v>
                </c:pt>
                <c:pt idx="120">
                  <c:v>1.3188639442439409</c:v>
                </c:pt>
                <c:pt idx="121">
                  <c:v>1.2845536916246194</c:v>
                </c:pt>
                <c:pt idx="122">
                  <c:v>1.2709626164829821</c:v>
                </c:pt>
                <c:pt idx="123">
                  <c:v>1.2487790295506904</c:v>
                </c:pt>
                <c:pt idx="124">
                  <c:v>1.2306607208701925</c:v>
                </c:pt>
                <c:pt idx="125">
                  <c:v>1.1984881890050791</c:v>
                </c:pt>
                <c:pt idx="126">
                  <c:v>1.1760631412699973</c:v>
                </c:pt>
                <c:pt idx="127">
                  <c:v>1.0727916018176817</c:v>
                </c:pt>
                <c:pt idx="128">
                  <c:v>1.0654139771701854</c:v>
                </c:pt>
                <c:pt idx="129">
                  <c:v>1.0563061983196109</c:v>
                </c:pt>
                <c:pt idx="130">
                  <c:v>1.0553070234064232</c:v>
                </c:pt>
                <c:pt idx="131">
                  <c:v>1.0456021774239261</c:v>
                </c:pt>
                <c:pt idx="132">
                  <c:v>1.0455126603798834</c:v>
                </c:pt>
                <c:pt idx="133">
                  <c:v>1.0208128533068297</c:v>
                </c:pt>
                <c:pt idx="134">
                  <c:v>1.0170597762735343</c:v>
                </c:pt>
                <c:pt idx="135">
                  <c:v>1.016624144869944</c:v>
                </c:pt>
                <c:pt idx="136">
                  <c:v>1.0043094070374592</c:v>
                </c:pt>
                <c:pt idx="137">
                  <c:v>0.99303383688020497</c:v>
                </c:pt>
                <c:pt idx="138">
                  <c:v>0.97047991020699009</c:v>
                </c:pt>
                <c:pt idx="139">
                  <c:v>0.96697674445968596</c:v>
                </c:pt>
                <c:pt idx="140">
                  <c:v>0.96563803027769812</c:v>
                </c:pt>
                <c:pt idx="141">
                  <c:v>0.96550185944101607</c:v>
                </c:pt>
                <c:pt idx="142">
                  <c:v>0.95314371733219683</c:v>
                </c:pt>
                <c:pt idx="143">
                  <c:v>0.93257593572421649</c:v>
                </c:pt>
                <c:pt idx="144">
                  <c:v>0.92819079717918762</c:v>
                </c:pt>
                <c:pt idx="145">
                  <c:v>0.91708589867922075</c:v>
                </c:pt>
                <c:pt idx="146">
                  <c:v>0.91656573957774357</c:v>
                </c:pt>
                <c:pt idx="147">
                  <c:v>0.88374795507353121</c:v>
                </c:pt>
                <c:pt idx="148">
                  <c:v>0.87566489602182052</c:v>
                </c:pt>
                <c:pt idx="149">
                  <c:v>0.87443941503235556</c:v>
                </c:pt>
                <c:pt idx="150">
                  <c:v>0.82420535719969901</c:v>
                </c:pt>
                <c:pt idx="151">
                  <c:v>0.82266639329575963</c:v>
                </c:pt>
                <c:pt idx="152">
                  <c:v>0.82156525977238659</c:v>
                </c:pt>
                <c:pt idx="153">
                  <c:v>0.79057476281745864</c:v>
                </c:pt>
                <c:pt idx="154">
                  <c:v>0.76721053450096144</c:v>
                </c:pt>
                <c:pt idx="155">
                  <c:v>0.76350524792508767</c:v>
                </c:pt>
                <c:pt idx="156">
                  <c:v>0.75150473505523885</c:v>
                </c:pt>
                <c:pt idx="157">
                  <c:v>0.70980425230427913</c:v>
                </c:pt>
                <c:pt idx="158">
                  <c:v>0.70748720062338966</c:v>
                </c:pt>
                <c:pt idx="159">
                  <c:v>0.70718942241390415</c:v>
                </c:pt>
                <c:pt idx="160">
                  <c:v>0.70279132337179617</c:v>
                </c:pt>
                <c:pt idx="161">
                  <c:v>0.67690616131824766</c:v>
                </c:pt>
                <c:pt idx="162">
                  <c:v>0.65841569424095758</c:v>
                </c:pt>
                <c:pt idx="163">
                  <c:v>0.64296692899372343</c:v>
                </c:pt>
                <c:pt idx="164">
                  <c:v>0.63363618580325531</c:v>
                </c:pt>
                <c:pt idx="165">
                  <c:v>0.63199220382751009</c:v>
                </c:pt>
                <c:pt idx="166">
                  <c:v>0.63145300284608008</c:v>
                </c:pt>
                <c:pt idx="167">
                  <c:v>0.62491845842312022</c:v>
                </c:pt>
                <c:pt idx="168">
                  <c:v>0.62281138540591097</c:v>
                </c:pt>
                <c:pt idx="169">
                  <c:v>0.60240094936097832</c:v>
                </c:pt>
                <c:pt idx="170">
                  <c:v>0.60202771048946491</c:v>
                </c:pt>
                <c:pt idx="171">
                  <c:v>0.58740082820987127</c:v>
                </c:pt>
                <c:pt idx="172">
                  <c:v>0.58728324663577491</c:v>
                </c:pt>
                <c:pt idx="173">
                  <c:v>0.5833928669040398</c:v>
                </c:pt>
                <c:pt idx="174">
                  <c:v>0.58206490082429441</c:v>
                </c:pt>
                <c:pt idx="175">
                  <c:v>0.57606440890343813</c:v>
                </c:pt>
                <c:pt idx="176">
                  <c:v>0.54824241861368983</c:v>
                </c:pt>
                <c:pt idx="177">
                  <c:v>0.54473261371791071</c:v>
                </c:pt>
                <c:pt idx="178">
                  <c:v>0.53557425785317037</c:v>
                </c:pt>
                <c:pt idx="179">
                  <c:v>0.52244816785251835</c:v>
                </c:pt>
                <c:pt idx="180">
                  <c:v>0.52104463053339201</c:v>
                </c:pt>
                <c:pt idx="181">
                  <c:v>0.52041918306773871</c:v>
                </c:pt>
                <c:pt idx="182">
                  <c:v>0.51866237133944804</c:v>
                </c:pt>
                <c:pt idx="183">
                  <c:v>0.50980131712596632</c:v>
                </c:pt>
                <c:pt idx="184">
                  <c:v>0.50800428760581129</c:v>
                </c:pt>
                <c:pt idx="185">
                  <c:v>0.50335848653201554</c:v>
                </c:pt>
                <c:pt idx="186">
                  <c:v>0.48509654571427552</c:v>
                </c:pt>
                <c:pt idx="187">
                  <c:v>0.45752379462926207</c:v>
                </c:pt>
                <c:pt idx="188">
                  <c:v>0.43941202924170497</c:v>
                </c:pt>
                <c:pt idx="189">
                  <c:v>0.43903882943323502</c:v>
                </c:pt>
                <c:pt idx="190">
                  <c:v>0.43245429824660953</c:v>
                </c:pt>
                <c:pt idx="191">
                  <c:v>0.4286338364652349</c:v>
                </c:pt>
                <c:pt idx="192">
                  <c:v>0.41771016016829732</c:v>
                </c:pt>
                <c:pt idx="193">
                  <c:v>0.40865641790229335</c:v>
                </c:pt>
                <c:pt idx="194">
                  <c:v>0.39305232558191472</c:v>
                </c:pt>
                <c:pt idx="195">
                  <c:v>0.37544060044761807</c:v>
                </c:pt>
                <c:pt idx="196">
                  <c:v>0.37068383389163628</c:v>
                </c:pt>
                <c:pt idx="197">
                  <c:v>0.36986623727307455</c:v>
                </c:pt>
                <c:pt idx="198">
                  <c:v>0.36215229632474477</c:v>
                </c:pt>
                <c:pt idx="199">
                  <c:v>0.35534504656019861</c:v>
                </c:pt>
                <c:pt idx="200">
                  <c:v>0.33535851285587137</c:v>
                </c:pt>
                <c:pt idx="201">
                  <c:v>0.33533058165664409</c:v>
                </c:pt>
                <c:pt idx="202">
                  <c:v>0.33467034061779488</c:v>
                </c:pt>
                <c:pt idx="203">
                  <c:v>0.33426331373679385</c:v>
                </c:pt>
                <c:pt idx="204">
                  <c:v>0.33313272015980377</c:v>
                </c:pt>
                <c:pt idx="205">
                  <c:v>0.32509135957585622</c:v>
                </c:pt>
                <c:pt idx="206">
                  <c:v>0.32372786890274829</c:v>
                </c:pt>
                <c:pt idx="207">
                  <c:v>0.32155408956391351</c:v>
                </c:pt>
                <c:pt idx="208">
                  <c:v>0.32034623127135697</c:v>
                </c:pt>
                <c:pt idx="209">
                  <c:v>0.31973559529562801</c:v>
                </c:pt>
                <c:pt idx="210">
                  <c:v>0.3189938980815934</c:v>
                </c:pt>
                <c:pt idx="211">
                  <c:v>0.31774705852507479</c:v>
                </c:pt>
                <c:pt idx="212">
                  <c:v>0.31724496682130798</c:v>
                </c:pt>
                <c:pt idx="213">
                  <c:v>0.3159015571126349</c:v>
                </c:pt>
                <c:pt idx="214">
                  <c:v>0.31575319922090417</c:v>
                </c:pt>
                <c:pt idx="215">
                  <c:v>0.31563952093313308</c:v>
                </c:pt>
                <c:pt idx="216">
                  <c:v>0.31615885204923355</c:v>
                </c:pt>
                <c:pt idx="217">
                  <c:v>0.31749721233136352</c:v>
                </c:pt>
                <c:pt idx="218">
                  <c:v>0.31793365306991372</c:v>
                </c:pt>
                <c:pt idx="219">
                  <c:v>0.31886071640847025</c:v>
                </c:pt>
                <c:pt idx="220">
                  <c:v>0.31935336191279351</c:v>
                </c:pt>
                <c:pt idx="221">
                  <c:v>0.3194309593080531</c:v>
                </c:pt>
                <c:pt idx="222">
                  <c:v>0.32075375614805202</c:v>
                </c:pt>
                <c:pt idx="223">
                  <c:v>0.32089751456158355</c:v>
                </c:pt>
                <c:pt idx="224">
                  <c:v>0.32121070689406439</c:v>
                </c:pt>
                <c:pt idx="225">
                  <c:v>0.32132029973550846</c:v>
                </c:pt>
                <c:pt idx="226">
                  <c:v>0.32142438764613601</c:v>
                </c:pt>
                <c:pt idx="227">
                  <c:v>0.3216876704586511</c:v>
                </c:pt>
                <c:pt idx="228">
                  <c:v>0.32354221462558641</c:v>
                </c:pt>
                <c:pt idx="229">
                  <c:v>0.32363086430467547</c:v>
                </c:pt>
                <c:pt idx="230">
                  <c:v>0.3249308970169893</c:v>
                </c:pt>
                <c:pt idx="231">
                  <c:v>0.32693306854484483</c:v>
                </c:pt>
                <c:pt idx="232">
                  <c:v>0.3269513588978441</c:v>
                </c:pt>
                <c:pt idx="233">
                  <c:v>0.32736899191237034</c:v>
                </c:pt>
                <c:pt idx="234">
                  <c:v>0.32875780310980263</c:v>
                </c:pt>
                <c:pt idx="235">
                  <c:v>0.33304813159236346</c:v>
                </c:pt>
                <c:pt idx="236">
                  <c:v>0.33502094503854929</c:v>
                </c:pt>
                <c:pt idx="237">
                  <c:v>0.33615856418873635</c:v>
                </c:pt>
                <c:pt idx="238">
                  <c:v>0.33874300884156172</c:v>
                </c:pt>
                <c:pt idx="239">
                  <c:v>0.33914384469259851</c:v>
                </c:pt>
                <c:pt idx="240">
                  <c:v>0.33974894136030853</c:v>
                </c:pt>
                <c:pt idx="241">
                  <c:v>0.3504824630035599</c:v>
                </c:pt>
                <c:pt idx="242">
                  <c:v>0.37615308847576312</c:v>
                </c:pt>
                <c:pt idx="243">
                  <c:v>0.37980139496140319</c:v>
                </c:pt>
                <c:pt idx="244">
                  <c:v>0.38523119346533186</c:v>
                </c:pt>
                <c:pt idx="245">
                  <c:v>0.38728603631407665</c:v>
                </c:pt>
                <c:pt idx="246">
                  <c:v>0.3889474787411249</c:v>
                </c:pt>
                <c:pt idx="247">
                  <c:v>0.39128288008805612</c:v>
                </c:pt>
                <c:pt idx="248">
                  <c:v>0.39327704933168972</c:v>
                </c:pt>
                <c:pt idx="249">
                  <c:v>0.39431198516619004</c:v>
                </c:pt>
                <c:pt idx="250">
                  <c:v>0.39961959914037104</c:v>
                </c:pt>
                <c:pt idx="251">
                  <c:v>0.40291628521905354</c:v>
                </c:pt>
                <c:pt idx="252">
                  <c:v>0.40362310338943352</c:v>
                </c:pt>
                <c:pt idx="253">
                  <c:v>0.40418816093842835</c:v>
                </c:pt>
                <c:pt idx="254">
                  <c:v>0.40444799538964338</c:v>
                </c:pt>
                <c:pt idx="255">
                  <c:v>0.40475237483314652</c:v>
                </c:pt>
                <c:pt idx="256">
                  <c:v>0.40503332300615336</c:v>
                </c:pt>
                <c:pt idx="257">
                  <c:v>0.40599568319607604</c:v>
                </c:pt>
                <c:pt idx="258">
                  <c:v>0.40600040452290553</c:v>
                </c:pt>
                <c:pt idx="259">
                  <c:v>0.4060580353946972</c:v>
                </c:pt>
                <c:pt idx="260">
                  <c:v>0.40658685527068172</c:v>
                </c:pt>
                <c:pt idx="261">
                  <c:v>0.40514210375641113</c:v>
                </c:pt>
                <c:pt idx="262">
                  <c:v>0.40273668441632582</c:v>
                </c:pt>
                <c:pt idx="263">
                  <c:v>0.39992689292293937</c:v>
                </c:pt>
                <c:pt idx="264">
                  <c:v>0.39740389865919035</c:v>
                </c:pt>
                <c:pt idx="265">
                  <c:v>0.39527845326699351</c:v>
                </c:pt>
                <c:pt idx="266">
                  <c:v>0.39362771165102961</c:v>
                </c:pt>
                <c:pt idx="267">
                  <c:v>0.3916434522588057</c:v>
                </c:pt>
                <c:pt idx="268">
                  <c:v>0.39015094247498316</c:v>
                </c:pt>
                <c:pt idx="269">
                  <c:v>0.38758278378846933</c:v>
                </c:pt>
                <c:pt idx="270">
                  <c:v>0.38485981329777541</c:v>
                </c:pt>
                <c:pt idx="271">
                  <c:v>0.38471347186150995</c:v>
                </c:pt>
                <c:pt idx="272">
                  <c:v>0.38255160275938183</c:v>
                </c:pt>
                <c:pt idx="273">
                  <c:v>0.37706065654923027</c:v>
                </c:pt>
                <c:pt idx="274">
                  <c:v>0.36921136079478423</c:v>
                </c:pt>
                <c:pt idx="275">
                  <c:v>0.36653274797272184</c:v>
                </c:pt>
                <c:pt idx="276">
                  <c:v>0.36322378062682059</c:v>
                </c:pt>
                <c:pt idx="277">
                  <c:v>0.36147783625778551</c:v>
                </c:pt>
                <c:pt idx="278">
                  <c:v>0.35902218690023346</c:v>
                </c:pt>
                <c:pt idx="279">
                  <c:v>0.35740190597919375</c:v>
                </c:pt>
                <c:pt idx="280">
                  <c:v>0.35406708120333752</c:v>
                </c:pt>
                <c:pt idx="281">
                  <c:v>0.35360257384887195</c:v>
                </c:pt>
                <c:pt idx="282">
                  <c:v>0.3529328424416347</c:v>
                </c:pt>
                <c:pt idx="283">
                  <c:v>0.35154999586541136</c:v>
                </c:pt>
                <c:pt idx="284">
                  <c:v>0.35145242218821693</c:v>
                </c:pt>
                <c:pt idx="285">
                  <c:v>0.35121972753525554</c:v>
                </c:pt>
                <c:pt idx="286">
                  <c:v>0.34452514513316412</c:v>
                </c:pt>
                <c:pt idx="287">
                  <c:v>0.34407231837586272</c:v>
                </c:pt>
                <c:pt idx="288">
                  <c:v>0.34132900256618059</c:v>
                </c:pt>
                <c:pt idx="289">
                  <c:v>0.34091148797858173</c:v>
                </c:pt>
                <c:pt idx="290">
                  <c:v>0.3391348287229845</c:v>
                </c:pt>
                <c:pt idx="291">
                  <c:v>0.33553376746863739</c:v>
                </c:pt>
                <c:pt idx="292">
                  <c:v>0.33552431112617631</c:v>
                </c:pt>
                <c:pt idx="293">
                  <c:v>0.33524552529162888</c:v>
                </c:pt>
                <c:pt idx="294">
                  <c:v>0.33197512723514544</c:v>
                </c:pt>
                <c:pt idx="295">
                  <c:v>0.33115645042965003</c:v>
                </c:pt>
                <c:pt idx="296">
                  <c:v>0.32935458005516738</c:v>
                </c:pt>
                <c:pt idx="297">
                  <c:v>0.32928504243130385</c:v>
                </c:pt>
                <c:pt idx="298">
                  <c:v>0.32883813583464772</c:v>
                </c:pt>
                <c:pt idx="299">
                  <c:v>0.32829347531207631</c:v>
                </c:pt>
                <c:pt idx="300">
                  <c:v>0.32740814642289484</c:v>
                </c:pt>
                <c:pt idx="301">
                  <c:v>0.32724990337630055</c:v>
                </c:pt>
                <c:pt idx="302">
                  <c:v>0.32718509157160014</c:v>
                </c:pt>
                <c:pt idx="303">
                  <c:v>0.3260273514026788</c:v>
                </c:pt>
                <c:pt idx="304">
                  <c:v>0.32587532047218115</c:v>
                </c:pt>
                <c:pt idx="305">
                  <c:v>0.32578564381298092</c:v>
                </c:pt>
                <c:pt idx="306">
                  <c:v>0.32579585928341803</c:v>
                </c:pt>
                <c:pt idx="307">
                  <c:v>0.3258179799621912</c:v>
                </c:pt>
                <c:pt idx="308">
                  <c:v>0.32585701183151228</c:v>
                </c:pt>
                <c:pt idx="309">
                  <c:v>0.32589756309945672</c:v>
                </c:pt>
                <c:pt idx="310">
                  <c:v>0.32666107262175759</c:v>
                </c:pt>
                <c:pt idx="311">
                  <c:v>0.32711747781718215</c:v>
                </c:pt>
                <c:pt idx="312">
                  <c:v>0.32738193320758757</c:v>
                </c:pt>
                <c:pt idx="313">
                  <c:v>0.32830486314333429</c:v>
                </c:pt>
                <c:pt idx="314">
                  <c:v>0.32969691266950996</c:v>
                </c:pt>
                <c:pt idx="315">
                  <c:v>0.33444261107164364</c:v>
                </c:pt>
                <c:pt idx="316">
                  <c:v>0.3381419079330148</c:v>
                </c:pt>
                <c:pt idx="317">
                  <c:v>0.34030812553404344</c:v>
                </c:pt>
                <c:pt idx="318">
                  <c:v>0.34127592925577677</c:v>
                </c:pt>
                <c:pt idx="319">
                  <c:v>0.34242294549959595</c:v>
                </c:pt>
                <c:pt idx="320">
                  <c:v>0.34509368227792336</c:v>
                </c:pt>
                <c:pt idx="321">
                  <c:v>0.34866083867318842</c:v>
                </c:pt>
                <c:pt idx="322">
                  <c:v>0.3500069950381941</c:v>
                </c:pt>
                <c:pt idx="323">
                  <c:v>0.35100156553314887</c:v>
                </c:pt>
                <c:pt idx="324">
                  <c:v>0.35132177503470574</c:v>
                </c:pt>
                <c:pt idx="325">
                  <c:v>0.35468267625414773</c:v>
                </c:pt>
                <c:pt idx="326">
                  <c:v>0.35534476736103482</c:v>
                </c:pt>
                <c:pt idx="327">
                  <c:v>0.35579761548888378</c:v>
                </c:pt>
                <c:pt idx="328">
                  <c:v>0.35862828720406892</c:v>
                </c:pt>
                <c:pt idx="329">
                  <c:v>0.36466948552091738</c:v>
                </c:pt>
                <c:pt idx="330">
                  <c:v>0.37115947934691906</c:v>
                </c:pt>
                <c:pt idx="331">
                  <c:v>0.37191687648804406</c:v>
                </c:pt>
                <c:pt idx="332">
                  <c:v>0.3720165650007683</c:v>
                </c:pt>
                <c:pt idx="333">
                  <c:v>0.37261335912177085</c:v>
                </c:pt>
                <c:pt idx="334">
                  <c:v>0.37821956732171502</c:v>
                </c:pt>
                <c:pt idx="335">
                  <c:v>0.37987272263440541</c:v>
                </c:pt>
                <c:pt idx="336">
                  <c:v>0.38091621929824404</c:v>
                </c:pt>
                <c:pt idx="337">
                  <c:v>0.38720338760340667</c:v>
                </c:pt>
                <c:pt idx="338">
                  <c:v>0.3946258505948097</c:v>
                </c:pt>
                <c:pt idx="339">
                  <c:v>0.40000057495916863</c:v>
                </c:pt>
                <c:pt idx="340">
                  <c:v>0.41164528666289391</c:v>
                </c:pt>
                <c:pt idx="341">
                  <c:v>0.42078102873049872</c:v>
                </c:pt>
                <c:pt idx="342">
                  <c:v>0.43215593740928027</c:v>
                </c:pt>
                <c:pt idx="343">
                  <c:v>0.43443090072376167</c:v>
                </c:pt>
                <c:pt idx="344">
                  <c:v>0.43879105613236069</c:v>
                </c:pt>
                <c:pt idx="345">
                  <c:v>0.44679060907199997</c:v>
                </c:pt>
                <c:pt idx="346">
                  <c:v>0.4591035892391031</c:v>
                </c:pt>
                <c:pt idx="347">
                  <c:v>0.47637504822815835</c:v>
                </c:pt>
                <c:pt idx="348">
                  <c:v>0.48456468034989397</c:v>
                </c:pt>
                <c:pt idx="349">
                  <c:v>0.49340585753912691</c:v>
                </c:pt>
                <c:pt idx="350">
                  <c:v>0.50065093183788711</c:v>
                </c:pt>
                <c:pt idx="351">
                  <c:v>0.51359861735176437</c:v>
                </c:pt>
                <c:pt idx="352">
                  <c:v>0.52309202387304721</c:v>
                </c:pt>
                <c:pt idx="353">
                  <c:v>0.52575429246558913</c:v>
                </c:pt>
                <c:pt idx="354">
                  <c:v>0.52626947776049393</c:v>
                </c:pt>
                <c:pt idx="355">
                  <c:v>0.52696002182261603</c:v>
                </c:pt>
                <c:pt idx="356">
                  <c:v>0.52787763698905898</c:v>
                </c:pt>
                <c:pt idx="357">
                  <c:v>0.5286940022389488</c:v>
                </c:pt>
                <c:pt idx="358">
                  <c:v>0.53854515439818718</c:v>
                </c:pt>
                <c:pt idx="359">
                  <c:v>0.53954699636308634</c:v>
                </c:pt>
                <c:pt idx="360">
                  <c:v>0.55367149126718318</c:v>
                </c:pt>
                <c:pt idx="361">
                  <c:v>0.55462233855338305</c:v>
                </c:pt>
                <c:pt idx="362">
                  <c:v>0.55974859806395849</c:v>
                </c:pt>
                <c:pt idx="363">
                  <c:v>0.56530004797507361</c:v>
                </c:pt>
                <c:pt idx="364">
                  <c:v>0.56619870337105405</c:v>
                </c:pt>
                <c:pt idx="365">
                  <c:v>0.56942524183339738</c:v>
                </c:pt>
                <c:pt idx="366">
                  <c:v>0.57420436479582881</c:v>
                </c:pt>
                <c:pt idx="367">
                  <c:v>0.57705984843683544</c:v>
                </c:pt>
                <c:pt idx="368">
                  <c:v>0.58560359284050079</c:v>
                </c:pt>
                <c:pt idx="369">
                  <c:v>0.5870916970761717</c:v>
                </c:pt>
                <c:pt idx="370">
                  <c:v>0.58800293363406531</c:v>
                </c:pt>
                <c:pt idx="371">
                  <c:v>0.60040574143050107</c:v>
                </c:pt>
                <c:pt idx="372">
                  <c:v>0.60955841772883335</c:v>
                </c:pt>
                <c:pt idx="373">
                  <c:v>0.62191388643670353</c:v>
                </c:pt>
                <c:pt idx="374">
                  <c:v>0.62270250886646417</c:v>
                </c:pt>
                <c:pt idx="375">
                  <c:v>0.64897673536680478</c:v>
                </c:pt>
                <c:pt idx="376">
                  <c:v>0.65166858897780178</c:v>
                </c:pt>
                <c:pt idx="377">
                  <c:v>0.67960266380011025</c:v>
                </c:pt>
                <c:pt idx="378">
                  <c:v>0.67979226029351092</c:v>
                </c:pt>
                <c:pt idx="379">
                  <c:v>0.70894057865662563</c:v>
                </c:pt>
                <c:pt idx="380">
                  <c:v>0.71885720012970045</c:v>
                </c:pt>
                <c:pt idx="381">
                  <c:v>0.7342919188193513</c:v>
                </c:pt>
                <c:pt idx="382">
                  <c:v>0.73721090181682825</c:v>
                </c:pt>
                <c:pt idx="383">
                  <c:v>0.75781958284957374</c:v>
                </c:pt>
                <c:pt idx="384">
                  <c:v>0.76398177170371473</c:v>
                </c:pt>
                <c:pt idx="385">
                  <c:v>0.78023437618952696</c:v>
                </c:pt>
                <c:pt idx="386">
                  <c:v>0.78362799815155237</c:v>
                </c:pt>
                <c:pt idx="387">
                  <c:v>0.80201552661277087</c:v>
                </c:pt>
                <c:pt idx="388">
                  <c:v>0.81371148222642264</c:v>
                </c:pt>
                <c:pt idx="389">
                  <c:v>0.82236668585164741</c:v>
                </c:pt>
                <c:pt idx="390">
                  <c:v>0.82515567634164211</c:v>
                </c:pt>
                <c:pt idx="391">
                  <c:v>0.85124544361493393</c:v>
                </c:pt>
                <c:pt idx="392">
                  <c:v>0.87786237116249688</c:v>
                </c:pt>
                <c:pt idx="393">
                  <c:v>0.88672629580846229</c:v>
                </c:pt>
                <c:pt idx="394">
                  <c:v>0.88721305769292491</c:v>
                </c:pt>
                <c:pt idx="395">
                  <c:v>0.89594213110724508</c:v>
                </c:pt>
                <c:pt idx="396">
                  <c:v>0.91924369069235401</c:v>
                </c:pt>
                <c:pt idx="397">
                  <c:v>0.92810226201409063</c:v>
                </c:pt>
                <c:pt idx="398">
                  <c:v>0.93159638624698915</c:v>
                </c:pt>
                <c:pt idx="399">
                  <c:v>0.95452436981082189</c:v>
                </c:pt>
                <c:pt idx="400">
                  <c:v>0.96315313043875261</c:v>
                </c:pt>
                <c:pt idx="401">
                  <c:v>0.99195928853118143</c:v>
                </c:pt>
                <c:pt idx="402">
                  <c:v>0.99459906416218113</c:v>
                </c:pt>
                <c:pt idx="403">
                  <c:v>1.0001818201721984</c:v>
                </c:pt>
                <c:pt idx="404">
                  <c:v>1.0012379460565597</c:v>
                </c:pt>
                <c:pt idx="405">
                  <c:v>1.0082456363111343</c:v>
                </c:pt>
                <c:pt idx="406">
                  <c:v>1.0085403864917664</c:v>
                </c:pt>
                <c:pt idx="407">
                  <c:v>1.0126379105129593</c:v>
                </c:pt>
                <c:pt idx="408">
                  <c:v>1.0186769949682482</c:v>
                </c:pt>
                <c:pt idx="409">
                  <c:v>1.0221164301654133</c:v>
                </c:pt>
                <c:pt idx="410">
                  <c:v>1.0225069612067859</c:v>
                </c:pt>
                <c:pt idx="411">
                  <c:v>1.0366592036266657</c:v>
                </c:pt>
                <c:pt idx="412">
                  <c:v>1.0370299502348568</c:v>
                </c:pt>
                <c:pt idx="413">
                  <c:v>1.044036056171268</c:v>
                </c:pt>
                <c:pt idx="414">
                  <c:v>1.0584909417101851</c:v>
                </c:pt>
                <c:pt idx="415">
                  <c:v>1.0586368912098811</c:v>
                </c:pt>
                <c:pt idx="416">
                  <c:v>1.0589712172322276</c:v>
                </c:pt>
                <c:pt idx="417">
                  <c:v>1.0571406168404798</c:v>
                </c:pt>
                <c:pt idx="418">
                  <c:v>1.0540043517623106</c:v>
                </c:pt>
                <c:pt idx="419">
                  <c:v>1.048386393885125</c:v>
                </c:pt>
                <c:pt idx="420">
                  <c:v>1.0479176528936678</c:v>
                </c:pt>
                <c:pt idx="421">
                  <c:v>1.0413268728153351</c:v>
                </c:pt>
                <c:pt idx="422">
                  <c:v>1.0380835811729294</c:v>
                </c:pt>
                <c:pt idx="423">
                  <c:v>1.0131396615440769</c:v>
                </c:pt>
                <c:pt idx="424">
                  <c:v>1.0058880493281326</c:v>
                </c:pt>
                <c:pt idx="425">
                  <c:v>1.0043738918136558</c:v>
                </c:pt>
                <c:pt idx="426">
                  <c:v>1.0020977306028451</c:v>
                </c:pt>
                <c:pt idx="427">
                  <c:v>0.97717897567016609</c:v>
                </c:pt>
                <c:pt idx="428">
                  <c:v>0.97567338236737977</c:v>
                </c:pt>
                <c:pt idx="429">
                  <c:v>0.96733251098933581</c:v>
                </c:pt>
                <c:pt idx="430">
                  <c:v>0.96297821088610625</c:v>
                </c:pt>
                <c:pt idx="431">
                  <c:v>0.95840022231484778</c:v>
                </c:pt>
                <c:pt idx="432">
                  <c:v>0.95693886360401348</c:v>
                </c:pt>
                <c:pt idx="433">
                  <c:v>0.9515483341853026</c:v>
                </c:pt>
                <c:pt idx="434">
                  <c:v>0.94309905792471693</c:v>
                </c:pt>
                <c:pt idx="435">
                  <c:v>0.9240581950567599</c:v>
                </c:pt>
                <c:pt idx="436">
                  <c:v>0.91449863254049446</c:v>
                </c:pt>
                <c:pt idx="437">
                  <c:v>0.91189836113260259</c:v>
                </c:pt>
                <c:pt idx="438">
                  <c:v>0.90139161236238841</c:v>
                </c:pt>
                <c:pt idx="439">
                  <c:v>0.86400661371571386</c:v>
                </c:pt>
                <c:pt idx="440">
                  <c:v>0.85696734154082654</c:v>
                </c:pt>
                <c:pt idx="441">
                  <c:v>0.84738145054714109</c:v>
                </c:pt>
                <c:pt idx="442">
                  <c:v>0.84706600651569652</c:v>
                </c:pt>
                <c:pt idx="443">
                  <c:v>0.83487397598958046</c:v>
                </c:pt>
                <c:pt idx="444">
                  <c:v>0.8289671073511824</c:v>
                </c:pt>
                <c:pt idx="445">
                  <c:v>0.8236335728335622</c:v>
                </c:pt>
                <c:pt idx="446">
                  <c:v>0.80970742389781969</c:v>
                </c:pt>
                <c:pt idx="447">
                  <c:v>0.80067929024986229</c:v>
                </c:pt>
                <c:pt idx="448">
                  <c:v>0.77071021339278478</c:v>
                </c:pt>
                <c:pt idx="449">
                  <c:v>0.76611064865954925</c:v>
                </c:pt>
                <c:pt idx="450">
                  <c:v>0.72926244216364355</c:v>
                </c:pt>
                <c:pt idx="451">
                  <c:v>0.72869987596146069</c:v>
                </c:pt>
                <c:pt idx="452">
                  <c:v>0.71598466822884999</c:v>
                </c:pt>
                <c:pt idx="453">
                  <c:v>0.71491482110966564</c:v>
                </c:pt>
                <c:pt idx="454">
                  <c:v>0.71202347327387483</c:v>
                </c:pt>
                <c:pt idx="455">
                  <c:v>0.69975403123832369</c:v>
                </c:pt>
                <c:pt idx="456">
                  <c:v>0.69958362082254788</c:v>
                </c:pt>
                <c:pt idx="457">
                  <c:v>0.67969623504809262</c:v>
                </c:pt>
                <c:pt idx="458">
                  <c:v>0.67483269073515628</c:v>
                </c:pt>
                <c:pt idx="459">
                  <c:v>0.66769867613522949</c:v>
                </c:pt>
                <c:pt idx="460">
                  <c:v>0.66665723603668892</c:v>
                </c:pt>
                <c:pt idx="461">
                  <c:v>0.66498089931934978</c:v>
                </c:pt>
                <c:pt idx="462">
                  <c:v>0.60083736586107217</c:v>
                </c:pt>
                <c:pt idx="463">
                  <c:v>0.57900984177431636</c:v>
                </c:pt>
                <c:pt idx="464">
                  <c:v>0.57132536386005817</c:v>
                </c:pt>
                <c:pt idx="465">
                  <c:v>0.56326351038742817</c:v>
                </c:pt>
                <c:pt idx="466">
                  <c:v>0.56040952362505903</c:v>
                </c:pt>
                <c:pt idx="467">
                  <c:v>0.5582470214619033</c:v>
                </c:pt>
                <c:pt idx="468">
                  <c:v>0.55033542011343095</c:v>
                </c:pt>
                <c:pt idx="469">
                  <c:v>0.54752317541191942</c:v>
                </c:pt>
                <c:pt idx="470">
                  <c:v>0.53428178594585729</c:v>
                </c:pt>
                <c:pt idx="471">
                  <c:v>0.53416277498940845</c:v>
                </c:pt>
                <c:pt idx="472">
                  <c:v>0.52898506125525824</c:v>
                </c:pt>
                <c:pt idx="473">
                  <c:v>0.52576965735610637</c:v>
                </c:pt>
                <c:pt idx="474">
                  <c:v>0.52574246524694024</c:v>
                </c:pt>
                <c:pt idx="475">
                  <c:v>0.52170001549263167</c:v>
                </c:pt>
                <c:pt idx="476">
                  <c:v>0.51204661710296673</c:v>
                </c:pt>
                <c:pt idx="477">
                  <c:v>0.50758390941907505</c:v>
                </c:pt>
                <c:pt idx="478">
                  <c:v>0.49902598860909464</c:v>
                </c:pt>
                <c:pt idx="479">
                  <c:v>0.49658451235724099</c:v>
                </c:pt>
                <c:pt idx="480">
                  <c:v>0.48842479729975397</c:v>
                </c:pt>
                <c:pt idx="481">
                  <c:v>0.48202953862705256</c:v>
                </c:pt>
                <c:pt idx="482">
                  <c:v>0.47693053257441953</c:v>
                </c:pt>
                <c:pt idx="483">
                  <c:v>0.47141198191970357</c:v>
                </c:pt>
                <c:pt idx="484">
                  <c:v>0.47026296423354141</c:v>
                </c:pt>
                <c:pt idx="485">
                  <c:v>0.46866719292822134</c:v>
                </c:pt>
                <c:pt idx="486">
                  <c:v>0.46683388110147916</c:v>
                </c:pt>
                <c:pt idx="487">
                  <c:v>0.46520117027497543</c:v>
                </c:pt>
                <c:pt idx="488">
                  <c:v>0.46434779906710544</c:v>
                </c:pt>
                <c:pt idx="489">
                  <c:v>0.46090951338797348</c:v>
                </c:pt>
                <c:pt idx="490">
                  <c:v>0.43833200275598427</c:v>
                </c:pt>
                <c:pt idx="491">
                  <c:v>0.42718332358769251</c:v>
                </c:pt>
                <c:pt idx="492">
                  <c:v>0.42335986718932572</c:v>
                </c:pt>
                <c:pt idx="493">
                  <c:v>0.41876682932453635</c:v>
                </c:pt>
                <c:pt idx="494">
                  <c:v>0.40396947135724925</c:v>
                </c:pt>
                <c:pt idx="495">
                  <c:v>0.39323154893478929</c:v>
                </c:pt>
                <c:pt idx="496">
                  <c:v>0.36713583775667225</c:v>
                </c:pt>
                <c:pt idx="497">
                  <c:v>0.35372406228756903</c:v>
                </c:pt>
                <c:pt idx="498">
                  <c:v>0.34270992920998156</c:v>
                </c:pt>
                <c:pt idx="499">
                  <c:v>0.33454134961098925</c:v>
                </c:pt>
                <c:pt idx="500">
                  <c:v>0.32880817984993405</c:v>
                </c:pt>
                <c:pt idx="501">
                  <c:v>0.32846287683730679</c:v>
                </c:pt>
                <c:pt idx="502">
                  <c:v>0</c:v>
                </c:pt>
                <c:pt idx="5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47-4C53-B095-3C309E6E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01215"/>
        <c:axId val="1750517439"/>
      </c:areaChart>
      <c:scatterChart>
        <c:scatterStyle val="smoothMarker"/>
        <c:varyColors val="0"/>
        <c:ser>
          <c:idx val="1"/>
          <c:order val="1"/>
          <c:tx>
            <c:v>Synthetic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 function'!$K$7:$K$507</c:f>
              <c:numCache>
                <c:formatCode>0.000</c:formatCode>
                <c:ptCount val="501"/>
                <c:pt idx="0">
                  <c:v>-0.99569429756711392</c:v>
                </c:pt>
                <c:pt idx="1">
                  <c:v>-0.99568056419404494</c:v>
                </c:pt>
                <c:pt idx="2">
                  <c:v>-0.99321005299294041</c:v>
                </c:pt>
                <c:pt idx="3">
                  <c:v>-0.9901713635457996</c:v>
                </c:pt>
                <c:pt idx="4">
                  <c:v>-0.98708933171046187</c:v>
                </c:pt>
                <c:pt idx="5">
                  <c:v>-0.9835524245552274</c:v>
                </c:pt>
                <c:pt idx="6">
                  <c:v>-0.98167576942930945</c:v>
                </c:pt>
                <c:pt idx="7">
                  <c:v>-0.97758000590186755</c:v>
                </c:pt>
                <c:pt idx="8">
                  <c:v>-0.97382748768372718</c:v>
                </c:pt>
                <c:pt idx="9">
                  <c:v>-0.96711666778159233</c:v>
                </c:pt>
                <c:pt idx="10">
                  <c:v>-0.9564964002773173</c:v>
                </c:pt>
                <c:pt idx="11">
                  <c:v>-0.94788637258041986</c:v>
                </c:pt>
                <c:pt idx="12">
                  <c:v>-0.94584243051856776</c:v>
                </c:pt>
                <c:pt idx="13">
                  <c:v>-0.94250841773549543</c:v>
                </c:pt>
                <c:pt idx="14">
                  <c:v>-0.94004832683049599</c:v>
                </c:pt>
                <c:pt idx="15">
                  <c:v>-0.93570579262225606</c:v>
                </c:pt>
                <c:pt idx="16">
                  <c:v>-0.93550746334227797</c:v>
                </c:pt>
                <c:pt idx="17">
                  <c:v>-0.93482258097911153</c:v>
                </c:pt>
                <c:pt idx="18">
                  <c:v>-0.93349182562365618</c:v>
                </c:pt>
                <c:pt idx="19">
                  <c:v>-0.9320361516103155</c:v>
                </c:pt>
                <c:pt idx="20">
                  <c:v>-0.92216007715921622</c:v>
                </c:pt>
                <c:pt idx="21">
                  <c:v>-0.9213429530640409</c:v>
                </c:pt>
                <c:pt idx="22">
                  <c:v>-0.91812831488684821</c:v>
                </c:pt>
                <c:pt idx="23">
                  <c:v>-0.91268822296765295</c:v>
                </c:pt>
                <c:pt idx="24">
                  <c:v>-0.90941232492293933</c:v>
                </c:pt>
                <c:pt idx="25">
                  <c:v>-0.89188450104523675</c:v>
                </c:pt>
                <c:pt idx="26">
                  <c:v>-0.8876090435688202</c:v>
                </c:pt>
                <c:pt idx="27">
                  <c:v>-0.88608525099301949</c:v>
                </c:pt>
                <c:pt idx="28">
                  <c:v>-0.88066697938096072</c:v>
                </c:pt>
                <c:pt idx="29">
                  <c:v>-0.87425009186275759</c:v>
                </c:pt>
                <c:pt idx="30">
                  <c:v>-0.86675520692845365</c:v>
                </c:pt>
                <c:pt idx="31">
                  <c:v>-0.86534099770392836</c:v>
                </c:pt>
                <c:pt idx="32">
                  <c:v>-0.86068345085598086</c:v>
                </c:pt>
                <c:pt idx="33">
                  <c:v>-0.86048938185259183</c:v>
                </c:pt>
                <c:pt idx="34">
                  <c:v>-0.85994439006333812</c:v>
                </c:pt>
                <c:pt idx="35">
                  <c:v>-0.84598411027436771</c:v>
                </c:pt>
                <c:pt idx="36">
                  <c:v>-0.83840833569535089</c:v>
                </c:pt>
                <c:pt idx="37">
                  <c:v>-0.83787060290430371</c:v>
                </c:pt>
                <c:pt idx="38">
                  <c:v>-0.83651914295196983</c:v>
                </c:pt>
                <c:pt idx="39">
                  <c:v>-0.83333357424212329</c:v>
                </c:pt>
                <c:pt idx="40">
                  <c:v>-0.83070770558237328</c:v>
                </c:pt>
                <c:pt idx="41">
                  <c:v>-0.8257258010660824</c:v>
                </c:pt>
                <c:pt idx="42">
                  <c:v>-0.81842631673824351</c:v>
                </c:pt>
                <c:pt idx="43">
                  <c:v>-0.81545632508858246</c:v>
                </c:pt>
                <c:pt idx="44">
                  <c:v>-0.809001184242917</c:v>
                </c:pt>
                <c:pt idx="45">
                  <c:v>-0.80890156297895377</c:v>
                </c:pt>
                <c:pt idx="46">
                  <c:v>-0.8056954108011285</c:v>
                </c:pt>
                <c:pt idx="47">
                  <c:v>-0.80361428399212254</c:v>
                </c:pt>
                <c:pt idx="48">
                  <c:v>-0.79556869619577042</c:v>
                </c:pt>
                <c:pt idx="49">
                  <c:v>-0.79060344417399464</c:v>
                </c:pt>
                <c:pt idx="50">
                  <c:v>-0.78993048450688685</c:v>
                </c:pt>
                <c:pt idx="51">
                  <c:v>-0.77969609002334561</c:v>
                </c:pt>
                <c:pt idx="52">
                  <c:v>-0.77900559271646896</c:v>
                </c:pt>
                <c:pt idx="53">
                  <c:v>-0.77676494446151012</c:v>
                </c:pt>
                <c:pt idx="54">
                  <c:v>-0.7667496034189738</c:v>
                </c:pt>
                <c:pt idx="55">
                  <c:v>-0.76633661175365764</c:v>
                </c:pt>
                <c:pt idx="56">
                  <c:v>-0.76423486794703943</c:v>
                </c:pt>
                <c:pt idx="57">
                  <c:v>-0.76162026425399332</c:v>
                </c:pt>
                <c:pt idx="58">
                  <c:v>-0.75830661772029262</c:v>
                </c:pt>
                <c:pt idx="59">
                  <c:v>-0.74753194675745438</c:v>
                </c:pt>
                <c:pt idx="60">
                  <c:v>-0.74709892911016262</c:v>
                </c:pt>
                <c:pt idx="61">
                  <c:v>-0.7449003338632032</c:v>
                </c:pt>
                <c:pt idx="62">
                  <c:v>-0.74316735635338893</c:v>
                </c:pt>
                <c:pt idx="63">
                  <c:v>-0.73920795298110353</c:v>
                </c:pt>
                <c:pt idx="64">
                  <c:v>-0.73270392593249456</c:v>
                </c:pt>
                <c:pt idx="65">
                  <c:v>-0.72864335338045993</c:v>
                </c:pt>
                <c:pt idx="66">
                  <c:v>-0.72422675632100053</c:v>
                </c:pt>
                <c:pt idx="67">
                  <c:v>-0.71278994777788252</c:v>
                </c:pt>
                <c:pt idx="68">
                  <c:v>-0.69972137984377292</c:v>
                </c:pt>
                <c:pt idx="69">
                  <c:v>-0.69947650301920916</c:v>
                </c:pt>
                <c:pt idx="70">
                  <c:v>-0.69507814293028125</c:v>
                </c:pt>
                <c:pt idx="71">
                  <c:v>-0.69313882813812233</c:v>
                </c:pt>
                <c:pt idx="72">
                  <c:v>-0.69152140702818343</c:v>
                </c:pt>
                <c:pt idx="73">
                  <c:v>-0.68893897374440671</c:v>
                </c:pt>
                <c:pt idx="74">
                  <c:v>-0.68594426147367704</c:v>
                </c:pt>
                <c:pt idx="75">
                  <c:v>-0.67222811097054547</c:v>
                </c:pt>
                <c:pt idx="76">
                  <c:v>-0.66817902446308586</c:v>
                </c:pt>
                <c:pt idx="77">
                  <c:v>-0.6633987194153077</c:v>
                </c:pt>
                <c:pt idx="78">
                  <c:v>-0.6604467276975714</c:v>
                </c:pt>
                <c:pt idx="79">
                  <c:v>-0.66039396192118294</c:v>
                </c:pt>
                <c:pt idx="80">
                  <c:v>-0.65199124633002725</c:v>
                </c:pt>
                <c:pt idx="81">
                  <c:v>-0.65181879083137595</c:v>
                </c:pt>
                <c:pt idx="82">
                  <c:v>-0.64546261766747026</c:v>
                </c:pt>
                <c:pt idx="83">
                  <c:v>-0.64235327613014848</c:v>
                </c:pt>
                <c:pt idx="84">
                  <c:v>-0.64134417497518492</c:v>
                </c:pt>
                <c:pt idx="85">
                  <c:v>-0.6388303318316233</c:v>
                </c:pt>
                <c:pt idx="86">
                  <c:v>-0.63654981969842539</c:v>
                </c:pt>
                <c:pt idx="87">
                  <c:v>-0.63346969381815477</c:v>
                </c:pt>
                <c:pt idx="88">
                  <c:v>-0.63005061467934298</c:v>
                </c:pt>
                <c:pt idx="89">
                  <c:v>-0.62033775339702424</c:v>
                </c:pt>
                <c:pt idx="90">
                  <c:v>-0.61891436953217016</c:v>
                </c:pt>
                <c:pt idx="91">
                  <c:v>-0.61550411138239514</c:v>
                </c:pt>
                <c:pt idx="92">
                  <c:v>-0.60575124198580488</c:v>
                </c:pt>
                <c:pt idx="93">
                  <c:v>-0.6054117387519391</c:v>
                </c:pt>
                <c:pt idx="94">
                  <c:v>-0.6014815285853683</c:v>
                </c:pt>
                <c:pt idx="95">
                  <c:v>-0.59965345563573247</c:v>
                </c:pt>
                <c:pt idx="96">
                  <c:v>-0.5988586632604882</c:v>
                </c:pt>
                <c:pt idx="97">
                  <c:v>-0.58977843972543154</c:v>
                </c:pt>
                <c:pt idx="98">
                  <c:v>-0.58965668732368393</c:v>
                </c:pt>
                <c:pt idx="99">
                  <c:v>-0.58951821455215137</c:v>
                </c:pt>
                <c:pt idx="100">
                  <c:v>-0.58625983093548895</c:v>
                </c:pt>
                <c:pt idx="101">
                  <c:v>-0.58475033534161325</c:v>
                </c:pt>
                <c:pt idx="102">
                  <c:v>-0.57936463993869847</c:v>
                </c:pt>
                <c:pt idx="103">
                  <c:v>-0.57862977652698566</c:v>
                </c:pt>
                <c:pt idx="104">
                  <c:v>-0.57641059399417194</c:v>
                </c:pt>
                <c:pt idx="105">
                  <c:v>-0.57604312946951675</c:v>
                </c:pt>
                <c:pt idx="106">
                  <c:v>-0.5753642121396032</c:v>
                </c:pt>
                <c:pt idx="107">
                  <c:v>-0.57185740668225749</c:v>
                </c:pt>
                <c:pt idx="108">
                  <c:v>-0.56706274902198239</c:v>
                </c:pt>
                <c:pt idx="109">
                  <c:v>-0.56478942935889775</c:v>
                </c:pt>
                <c:pt idx="110">
                  <c:v>-0.56210437078924547</c:v>
                </c:pt>
                <c:pt idx="111">
                  <c:v>-0.56074770305488841</c:v>
                </c:pt>
                <c:pt idx="112">
                  <c:v>-0.55355894722698973</c:v>
                </c:pt>
                <c:pt idx="113">
                  <c:v>-0.54948906024387267</c:v>
                </c:pt>
                <c:pt idx="114">
                  <c:v>-0.54926894217270794</c:v>
                </c:pt>
                <c:pt idx="115">
                  <c:v>-0.54587439973557506</c:v>
                </c:pt>
                <c:pt idx="116">
                  <c:v>-0.54404033477587643</c:v>
                </c:pt>
                <c:pt idx="117">
                  <c:v>-0.54259893532357806</c:v>
                </c:pt>
                <c:pt idx="118">
                  <c:v>-0.53176917229243448</c:v>
                </c:pt>
                <c:pt idx="119">
                  <c:v>-0.52208082174365877</c:v>
                </c:pt>
                <c:pt idx="120">
                  <c:v>-0.51500984452762211</c:v>
                </c:pt>
                <c:pt idx="121">
                  <c:v>-0.51218009185809343</c:v>
                </c:pt>
                <c:pt idx="122">
                  <c:v>-0.50752385203867267</c:v>
                </c:pt>
                <c:pt idx="123">
                  <c:v>-0.50368466934876954</c:v>
                </c:pt>
                <c:pt idx="124">
                  <c:v>-0.49678176518310879</c:v>
                </c:pt>
                <c:pt idx="125">
                  <c:v>-0.49190110875431792</c:v>
                </c:pt>
                <c:pt idx="126">
                  <c:v>-0.46858217834215332</c:v>
                </c:pt>
                <c:pt idx="127">
                  <c:v>-0.46685691323570566</c:v>
                </c:pt>
                <c:pt idx="128">
                  <c:v>-0.46471496901481668</c:v>
                </c:pt>
                <c:pt idx="129">
                  <c:v>-0.46447916072906281</c:v>
                </c:pt>
                <c:pt idx="130">
                  <c:v>-0.46218015604968898</c:v>
                </c:pt>
                <c:pt idx="131">
                  <c:v>-0.46215887660111243</c:v>
                </c:pt>
                <c:pt idx="132">
                  <c:v>-0.45623446596919082</c:v>
                </c:pt>
                <c:pt idx="133">
                  <c:v>-0.45532480324720592</c:v>
                </c:pt>
                <c:pt idx="134">
                  <c:v>-0.45521905003713892</c:v>
                </c:pt>
                <c:pt idx="135">
                  <c:v>-0.45221506659650546</c:v>
                </c:pt>
                <c:pt idx="136">
                  <c:v>-0.44943952121628028</c:v>
                </c:pt>
                <c:pt idx="137">
                  <c:v>-0.44381287923213519</c:v>
                </c:pt>
                <c:pt idx="138">
                  <c:v>-0.44292966667758282</c:v>
                </c:pt>
                <c:pt idx="139">
                  <c:v>-0.44259147832082091</c:v>
                </c:pt>
                <c:pt idx="140">
                  <c:v>-0.44255705762845454</c:v>
                </c:pt>
                <c:pt idx="141">
                  <c:v>-0.43941688967585191</c:v>
                </c:pt>
                <c:pt idx="142">
                  <c:v>-0.43411685803292754</c:v>
                </c:pt>
                <c:pt idx="143">
                  <c:v>-0.43297452649361312</c:v>
                </c:pt>
                <c:pt idx="144">
                  <c:v>-0.43006163242962159</c:v>
                </c:pt>
                <c:pt idx="145">
                  <c:v>-0.42992447518096233</c:v>
                </c:pt>
                <c:pt idx="146">
                  <c:v>-0.4211358811806063</c:v>
                </c:pt>
                <c:pt idx="147">
                  <c:v>-0.41892876613938679</c:v>
                </c:pt>
                <c:pt idx="148">
                  <c:v>-0.41859261717684881</c:v>
                </c:pt>
                <c:pt idx="149">
                  <c:v>-0.40444642103016037</c:v>
                </c:pt>
                <c:pt idx="150">
                  <c:v>-0.40400110771977316</c:v>
                </c:pt>
                <c:pt idx="151">
                  <c:v>-0.40368202539140774</c:v>
                </c:pt>
                <c:pt idx="152">
                  <c:v>-0.39453891288814913</c:v>
                </c:pt>
                <c:pt idx="153">
                  <c:v>-0.38742509793999158</c:v>
                </c:pt>
                <c:pt idx="154">
                  <c:v>-0.38627837080065985</c:v>
                </c:pt>
                <c:pt idx="155">
                  <c:v>-0.38252796871813732</c:v>
                </c:pt>
                <c:pt idx="156">
                  <c:v>-0.36903278481418833</c:v>
                </c:pt>
                <c:pt idx="157">
                  <c:v>-0.36826040883640077</c:v>
                </c:pt>
                <c:pt idx="158">
                  <c:v>-0.36816096479850757</c:v>
                </c:pt>
                <c:pt idx="159">
                  <c:v>-0.36668735205868819</c:v>
                </c:pt>
                <c:pt idx="160">
                  <c:v>-0.35782287537172341</c:v>
                </c:pt>
                <c:pt idx="161">
                  <c:v>-0.35127723401304789</c:v>
                </c:pt>
                <c:pt idx="162">
                  <c:v>-0.3456606382220575</c:v>
                </c:pt>
                <c:pt idx="163">
                  <c:v>-0.34219918207939393</c:v>
                </c:pt>
                <c:pt idx="164">
                  <c:v>-0.34158370802583771</c:v>
                </c:pt>
                <c:pt idx="165">
                  <c:v>-0.3413814704212228</c:v>
                </c:pt>
                <c:pt idx="166">
                  <c:v>-0.33891579010483142</c:v>
                </c:pt>
                <c:pt idx="167">
                  <c:v>-0.33811482895306311</c:v>
                </c:pt>
                <c:pt idx="168">
                  <c:v>-0.33020067828733035</c:v>
                </c:pt>
                <c:pt idx="169">
                  <c:v>-0.33005323653837437</c:v>
                </c:pt>
                <c:pt idx="170">
                  <c:v>-0.32419388631484547</c:v>
                </c:pt>
                <c:pt idx="171">
                  <c:v>-0.3241461268685768</c:v>
                </c:pt>
                <c:pt idx="172">
                  <c:v>-0.32255983091968443</c:v>
                </c:pt>
                <c:pt idx="173">
                  <c:v>-0.3220156216995087</c:v>
                </c:pt>
                <c:pt idx="174">
                  <c:v>-0.31953890995282452</c:v>
                </c:pt>
                <c:pt idx="175">
                  <c:v>-0.30765345080419371</c:v>
                </c:pt>
                <c:pt idx="176">
                  <c:v>-0.30610390436110824</c:v>
                </c:pt>
                <c:pt idx="177">
                  <c:v>-0.30200358040911879</c:v>
                </c:pt>
                <c:pt idx="178">
                  <c:v>-0.29597575736612813</c:v>
                </c:pt>
                <c:pt idx="179">
                  <c:v>-0.29532017863541093</c:v>
                </c:pt>
                <c:pt idx="180">
                  <c:v>-0.29502732973033563</c:v>
                </c:pt>
                <c:pt idx="181">
                  <c:v>-0.29420239520188263</c:v>
                </c:pt>
                <c:pt idx="182">
                  <c:v>-0.2899873559530004</c:v>
                </c:pt>
                <c:pt idx="183">
                  <c:v>-0.28912120951840992</c:v>
                </c:pt>
                <c:pt idx="184">
                  <c:v>-0.2868636791718393</c:v>
                </c:pt>
                <c:pt idx="185">
                  <c:v>-0.2777188273303044</c:v>
                </c:pt>
                <c:pt idx="186">
                  <c:v>-0.26298414402517101</c:v>
                </c:pt>
                <c:pt idx="187">
                  <c:v>-0.25258275020520071</c:v>
                </c:pt>
                <c:pt idx="188">
                  <c:v>-0.25236151769494386</c:v>
                </c:pt>
                <c:pt idx="189">
                  <c:v>-0.24840836269185473</c:v>
                </c:pt>
                <c:pt idx="190">
                  <c:v>-0.24606972013899719</c:v>
                </c:pt>
                <c:pt idx="191">
                  <c:v>-0.23918559160278896</c:v>
                </c:pt>
                <c:pt idx="192">
                  <c:v>-0.23323573792104102</c:v>
                </c:pt>
                <c:pt idx="193">
                  <c:v>-0.22237039391923319</c:v>
                </c:pt>
                <c:pt idx="194">
                  <c:v>-0.20893733243369073</c:v>
                </c:pt>
                <c:pt idx="195">
                  <c:v>-0.20503882076964164</c:v>
                </c:pt>
                <c:pt idx="196">
                  <c:v>-0.2043550376134331</c:v>
                </c:pt>
                <c:pt idx="197">
                  <c:v>-0.19768147668265046</c:v>
                </c:pt>
                <c:pt idx="198">
                  <c:v>-0.19140455010747282</c:v>
                </c:pt>
                <c:pt idx="199">
                  <c:v>-0.16968099447226193</c:v>
                </c:pt>
                <c:pt idx="200">
                  <c:v>-0.16964537347731756</c:v>
                </c:pt>
                <c:pt idx="201">
                  <c:v>-0.16879703965534687</c:v>
                </c:pt>
                <c:pt idx="202">
                  <c:v>-0.16826784219246749</c:v>
                </c:pt>
                <c:pt idx="203">
                  <c:v>-0.16677154074264711</c:v>
                </c:pt>
                <c:pt idx="204">
                  <c:v>-0.15459081945994479</c:v>
                </c:pt>
                <c:pt idx="205">
                  <c:v>-0.15212411736816289</c:v>
                </c:pt>
                <c:pt idx="206">
                  <c:v>-0.14777324559892802</c:v>
                </c:pt>
                <c:pt idx="207">
                  <c:v>-0.14504451462985291</c:v>
                </c:pt>
                <c:pt idx="208">
                  <c:v>-0.14354649476982373</c:v>
                </c:pt>
                <c:pt idx="209">
                  <c:v>-0.14158624510697493</c:v>
                </c:pt>
                <c:pt idx="210">
                  <c:v>-0.13778998766004347</c:v>
                </c:pt>
                <c:pt idx="211">
                  <c:v>-0.13598788358178493</c:v>
                </c:pt>
                <c:pt idx="212">
                  <c:v>-0.12924983375345289</c:v>
                </c:pt>
                <c:pt idx="213">
                  <c:v>-0.12804653068213034</c:v>
                </c:pt>
                <c:pt idx="214">
                  <c:v>-0.12691245570248544</c:v>
                </c:pt>
                <c:pt idx="215">
                  <c:v>-0.11432387402841848</c:v>
                </c:pt>
                <c:pt idx="216">
                  <c:v>-0.10871292885710382</c:v>
                </c:pt>
                <c:pt idx="217">
                  <c:v>-0.10733784815505154</c:v>
                </c:pt>
                <c:pt idx="218">
                  <c:v>-0.10477972003930125</c:v>
                </c:pt>
                <c:pt idx="219">
                  <c:v>-0.10356566754414986</c:v>
                </c:pt>
                <c:pt idx="220">
                  <c:v>-0.10338175015586781</c:v>
                </c:pt>
                <c:pt idx="221">
                  <c:v>-0.10049017366295132</c:v>
                </c:pt>
                <c:pt idx="222">
                  <c:v>-0.10019933003928072</c:v>
                </c:pt>
                <c:pt idx="223">
                  <c:v>-9.9578929710305797E-2</c:v>
                </c:pt>
                <c:pt idx="224">
                  <c:v>-9.9365905805647525E-2</c:v>
                </c:pt>
                <c:pt idx="225">
                  <c:v>-9.9165445221565118E-2</c:v>
                </c:pt>
                <c:pt idx="226">
                  <c:v>-9.8666171970792638E-2</c:v>
                </c:pt>
                <c:pt idx="227">
                  <c:v>-9.5415827575423995E-2</c:v>
                </c:pt>
                <c:pt idx="228">
                  <c:v>-9.5270402698784062E-2</c:v>
                </c:pt>
                <c:pt idx="229">
                  <c:v>-9.3221904931196864E-2</c:v>
                </c:pt>
                <c:pt idx="230">
                  <c:v>-9.0322522491713908E-2</c:v>
                </c:pt>
                <c:pt idx="231">
                  <c:v>-9.029723272079071E-2</c:v>
                </c:pt>
                <c:pt idx="232">
                  <c:v>-8.9725010003494754E-2</c:v>
                </c:pt>
                <c:pt idx="233">
                  <c:v>-8.7888656371934104E-2</c:v>
                </c:pt>
                <c:pt idx="234">
                  <c:v>-8.2724858708177695E-2</c:v>
                </c:pt>
                <c:pt idx="235">
                  <c:v>-8.0546062438083821E-2</c:v>
                </c:pt>
                <c:pt idx="236">
                  <c:v>-7.9333318239207751E-2</c:v>
                </c:pt>
                <c:pt idx="237">
                  <c:v>-7.6678320437527203E-2</c:v>
                </c:pt>
                <c:pt idx="238">
                  <c:v>-7.6277595032764323E-2</c:v>
                </c:pt>
                <c:pt idx="239">
                  <c:v>-7.5677740833442586E-2</c:v>
                </c:pt>
                <c:pt idx="240">
                  <c:v>-6.5789720917920569E-2</c:v>
                </c:pt>
                <c:pt idx="241">
                  <c:v>-4.403041632927418E-2</c:v>
                </c:pt>
                <c:pt idx="242">
                  <c:v>-4.0769792723178933E-2</c:v>
                </c:pt>
                <c:pt idx="243">
                  <c:v>-3.5641576196199454E-2</c:v>
                </c:pt>
                <c:pt idx="244">
                  <c:v>-3.3580272771466024E-2</c:v>
                </c:pt>
                <c:pt idx="245">
                  <c:v>-3.184943656219863E-2</c:v>
                </c:pt>
                <c:pt idx="246">
                  <c:v>-2.9297319167828739E-2</c:v>
                </c:pt>
                <c:pt idx="247">
                  <c:v>-2.6980783362191119E-2</c:v>
                </c:pt>
                <c:pt idx="248">
                  <c:v>-2.5717025410268546E-2</c:v>
                </c:pt>
                <c:pt idx="249">
                  <c:v>-1.8236700379650417E-2</c:v>
                </c:pt>
                <c:pt idx="250">
                  <c:v>-1.1991828147545514E-2</c:v>
                </c:pt>
                <c:pt idx="251">
                  <c:v>-1.0308601796264805E-2</c:v>
                </c:pt>
                <c:pt idx="252">
                  <c:v>-8.8076608031051329E-3</c:v>
                </c:pt>
                <c:pt idx="253">
                  <c:v>-8.0563084711735566E-3</c:v>
                </c:pt>
                <c:pt idx="254">
                  <c:v>-7.1135327721605357E-3</c:v>
                </c:pt>
                <c:pt idx="255">
                  <c:v>-6.16873810924079E-3</c:v>
                </c:pt>
                <c:pt idx="256">
                  <c:v>-1.9592168294897405E-3</c:v>
                </c:pt>
                <c:pt idx="257">
                  <c:v>-1.9318997975790175E-3</c:v>
                </c:pt>
                <c:pt idx="258">
                  <c:v>-1.5889088159604103E-3</c:v>
                </c:pt>
                <c:pt idx="259">
                  <c:v>5.096568500339238E-3</c:v>
                </c:pt>
                <c:pt idx="260">
                  <c:v>1.6351115619617218E-2</c:v>
                </c:pt>
                <c:pt idx="261">
                  <c:v>2.4033175380148153E-2</c:v>
                </c:pt>
                <c:pt idx="262">
                  <c:v>3.0651867087243101E-2</c:v>
                </c:pt>
                <c:pt idx="263">
                  <c:v>3.5715915435003742E-2</c:v>
                </c:pt>
                <c:pt idx="264">
                  <c:v>3.961883086589868E-2</c:v>
                </c:pt>
                <c:pt idx="265">
                  <c:v>4.2494213167260098E-2</c:v>
                </c:pt>
                <c:pt idx="266">
                  <c:v>4.581782150550584E-2</c:v>
                </c:pt>
                <c:pt idx="267">
                  <c:v>4.8243745886441758E-2</c:v>
                </c:pt>
                <c:pt idx="268">
                  <c:v>5.2306602677872904E-2</c:v>
                </c:pt>
                <c:pt idx="269">
                  <c:v>5.6503279025554187E-2</c:v>
                </c:pt>
                <c:pt idx="270">
                  <c:v>5.6726395493103432E-2</c:v>
                </c:pt>
                <c:pt idx="271">
                  <c:v>6.0000908353359472E-2</c:v>
                </c:pt>
                <c:pt idx="272">
                  <c:v>6.8213303070381981E-2</c:v>
                </c:pt>
                <c:pt idx="273">
                  <c:v>7.999677505432401E-2</c:v>
                </c:pt>
                <c:pt idx="274">
                  <c:v>8.4101843442850432E-2</c:v>
                </c:pt>
                <c:pt idx="275">
                  <c:v>8.9273692900438295E-2</c:v>
                </c:pt>
                <c:pt idx="276">
                  <c:v>9.2058430636928534E-2</c:v>
                </c:pt>
                <c:pt idx="277">
                  <c:v>9.605396032013358E-2</c:v>
                </c:pt>
                <c:pt idx="278">
                  <c:v>9.874813130667448E-2</c:v>
                </c:pt>
                <c:pt idx="279">
                  <c:v>0.10446459012351861</c:v>
                </c:pt>
                <c:pt idx="280">
                  <c:v>0.105281485798151</c:v>
                </c:pt>
                <c:pt idx="281">
                  <c:v>0.10646910780898233</c:v>
                </c:pt>
                <c:pt idx="282">
                  <c:v>0.10896012383022091</c:v>
                </c:pt>
                <c:pt idx="283">
                  <c:v>0.1091379661461267</c:v>
                </c:pt>
                <c:pt idx="284">
                  <c:v>0.10956323516055022</c:v>
                </c:pt>
                <c:pt idx="285">
                  <c:v>0.12262598533872171</c:v>
                </c:pt>
                <c:pt idx="286">
                  <c:v>0.12357934106355262</c:v>
                </c:pt>
                <c:pt idx="287">
                  <c:v>0.12960259612166647</c:v>
                </c:pt>
                <c:pt idx="288">
                  <c:v>0.13056101291316113</c:v>
                </c:pt>
                <c:pt idx="289">
                  <c:v>0.13478465154893637</c:v>
                </c:pt>
                <c:pt idx="290">
                  <c:v>0.14425460448245597</c:v>
                </c:pt>
                <c:pt idx="291">
                  <c:v>0.14428148514719341</c:v>
                </c:pt>
                <c:pt idx="292">
                  <c:v>0.14507963805066049</c:v>
                </c:pt>
                <c:pt idx="293">
                  <c:v>0.15546061536158717</c:v>
                </c:pt>
                <c:pt idx="294">
                  <c:v>0.15845346192160092</c:v>
                </c:pt>
                <c:pt idx="295">
                  <c:v>0.16594726351440414</c:v>
                </c:pt>
                <c:pt idx="296">
                  <c:v>0.16626983902972725</c:v>
                </c:pt>
                <c:pt idx="297">
                  <c:v>0.16842223794069366</c:v>
                </c:pt>
                <c:pt idx="298">
                  <c:v>0.17126579517697693</c:v>
                </c:pt>
                <c:pt idx="299">
                  <c:v>0.17663545437829886</c:v>
                </c:pt>
                <c:pt idx="300">
                  <c:v>0.17773656250660808</c:v>
                </c:pt>
                <c:pt idx="301">
                  <c:v>0.17820434005089636</c:v>
                </c:pt>
                <c:pt idx="302">
                  <c:v>0.19007871963265921</c:v>
                </c:pt>
                <c:pt idx="303">
                  <c:v>0.19335472428726308</c:v>
                </c:pt>
                <c:pt idx="304">
                  <c:v>0.19821300903640382</c:v>
                </c:pt>
                <c:pt idx="305">
                  <c:v>0.20017376211868454</c:v>
                </c:pt>
                <c:pt idx="306">
                  <c:v>0.20149770839516101</c:v>
                </c:pt>
                <c:pt idx="307">
                  <c:v>0.20296834178736245</c:v>
                </c:pt>
                <c:pt idx="308">
                  <c:v>0.20410275872597849</c:v>
                </c:pt>
                <c:pt idx="309">
                  <c:v>0.21416359564429444</c:v>
                </c:pt>
                <c:pt idx="310">
                  <c:v>0.2177899466197093</c:v>
                </c:pt>
                <c:pt idx="311">
                  <c:v>0.21960003919754989</c:v>
                </c:pt>
                <c:pt idx="312">
                  <c:v>0.22493224017262547</c:v>
                </c:pt>
                <c:pt idx="313">
                  <c:v>0.23131200710273436</c:v>
                </c:pt>
                <c:pt idx="314">
                  <c:v>0.24681646933010826</c:v>
                </c:pt>
                <c:pt idx="315">
                  <c:v>0.25584397346456278</c:v>
                </c:pt>
                <c:pt idx="316">
                  <c:v>0.2604487835601017</c:v>
                </c:pt>
                <c:pt idx="317">
                  <c:v>0.26238300222997357</c:v>
                </c:pt>
                <c:pt idx="318">
                  <c:v>0.26459036080682474</c:v>
                </c:pt>
                <c:pt idx="319">
                  <c:v>0.26942033541585708</c:v>
                </c:pt>
                <c:pt idx="320">
                  <c:v>0.27531624934626397</c:v>
                </c:pt>
                <c:pt idx="321">
                  <c:v>0.27740407554636248</c:v>
                </c:pt>
                <c:pt idx="322">
                  <c:v>0.27890426620415298</c:v>
                </c:pt>
                <c:pt idx="323">
                  <c:v>0.27938001398692447</c:v>
                </c:pt>
                <c:pt idx="324">
                  <c:v>0.2841785590726067</c:v>
                </c:pt>
                <c:pt idx="325">
                  <c:v>0.28508511801291747</c:v>
                </c:pt>
                <c:pt idx="326">
                  <c:v>0.2856983927020722</c:v>
                </c:pt>
                <c:pt idx="327">
                  <c:v>0.28941484952860574</c:v>
                </c:pt>
                <c:pt idx="328">
                  <c:v>0.29676009085199784</c:v>
                </c:pt>
                <c:pt idx="329">
                  <c:v>0.30392968561399147</c:v>
                </c:pt>
                <c:pt idx="330">
                  <c:v>0.30472526103078335</c:v>
                </c:pt>
                <c:pt idx="331">
                  <c:v>0.30482938716376795</c:v>
                </c:pt>
                <c:pt idx="332">
                  <c:v>0.3054499353391158</c:v>
                </c:pt>
                <c:pt idx="333">
                  <c:v>0.31105906082138612</c:v>
                </c:pt>
                <c:pt idx="334">
                  <c:v>0.3126429389452392</c:v>
                </c:pt>
                <c:pt idx="335">
                  <c:v>0.31362756381816648</c:v>
                </c:pt>
                <c:pt idx="336">
                  <c:v>0.31933151892462819</c:v>
                </c:pt>
                <c:pt idx="337">
                  <c:v>0.32562059763942086</c:v>
                </c:pt>
                <c:pt idx="338">
                  <c:v>0.32991674218500644</c:v>
                </c:pt>
                <c:pt idx="339">
                  <c:v>0.33860151839900077</c:v>
                </c:pt>
                <c:pt idx="340">
                  <c:v>0.3449119226318158</c:v>
                </c:pt>
                <c:pt idx="341">
                  <c:v>0.35225865052387406</c:v>
                </c:pt>
                <c:pt idx="342">
                  <c:v>0.35366811638638618</c:v>
                </c:pt>
                <c:pt idx="343">
                  <c:v>0.35631870937487142</c:v>
                </c:pt>
                <c:pt idx="344">
                  <c:v>0.36102021486553237</c:v>
                </c:pt>
                <c:pt idx="345">
                  <c:v>0.36789250668272988</c:v>
                </c:pt>
                <c:pt idx="346">
                  <c:v>0.37690016775992019</c:v>
                </c:pt>
                <c:pt idx="347">
                  <c:v>0.38095057346528582</c:v>
                </c:pt>
                <c:pt idx="348">
                  <c:v>0.38518371909666715</c:v>
                </c:pt>
                <c:pt idx="349">
                  <c:v>0.38855390128338119</c:v>
                </c:pt>
                <c:pt idx="350">
                  <c:v>0.3943767869942123</c:v>
                </c:pt>
                <c:pt idx="351">
                  <c:v>0.3984989390542264</c:v>
                </c:pt>
                <c:pt idx="352">
                  <c:v>0.39963436571418476</c:v>
                </c:pt>
                <c:pt idx="353">
                  <c:v>0.39985308854880852</c:v>
                </c:pt>
                <c:pt idx="354">
                  <c:v>0.4001457591109896</c:v>
                </c:pt>
                <c:pt idx="355">
                  <c:v>0.40053378616590796</c:v>
                </c:pt>
                <c:pt idx="356">
                  <c:v>0.40087815855451359</c:v>
                </c:pt>
                <c:pt idx="357">
                  <c:v>0.40497364439729466</c:v>
                </c:pt>
                <c:pt idx="358">
                  <c:v>0.40538415559204277</c:v>
                </c:pt>
                <c:pt idx="359">
                  <c:v>0.41106284376938151</c:v>
                </c:pt>
                <c:pt idx="360">
                  <c:v>0.41143817407963756</c:v>
                </c:pt>
                <c:pt idx="361">
                  <c:v>0.41344747562895834</c:v>
                </c:pt>
                <c:pt idx="362">
                  <c:v>0.41559735081650273</c:v>
                </c:pt>
                <c:pt idx="363">
                  <c:v>0.41594290473140383</c:v>
                </c:pt>
                <c:pt idx="364">
                  <c:v>0.4171780915975698</c:v>
                </c:pt>
                <c:pt idx="365">
                  <c:v>0.41899226852993454</c:v>
                </c:pt>
                <c:pt idx="366">
                  <c:v>0.42006774509120959</c:v>
                </c:pt>
                <c:pt idx="367">
                  <c:v>0.42324953337988425</c:v>
                </c:pt>
                <c:pt idx="368">
                  <c:v>0.42379839802121388</c:v>
                </c:pt>
                <c:pt idx="369">
                  <c:v>0.42413373952771338</c:v>
                </c:pt>
                <c:pt idx="370">
                  <c:v>0.42864354576378849</c:v>
                </c:pt>
                <c:pt idx="371">
                  <c:v>0.43191066679124934</c:v>
                </c:pt>
                <c:pt idx="372">
                  <c:v>0.43624705301026645</c:v>
                </c:pt>
                <c:pt idx="373">
                  <c:v>0.43652114145597531</c:v>
                </c:pt>
                <c:pt idx="374">
                  <c:v>0.44548957469626838</c:v>
                </c:pt>
                <c:pt idx="375">
                  <c:v>0.44639217177081747</c:v>
                </c:pt>
                <c:pt idx="376">
                  <c:v>0.45561269587468711</c:v>
                </c:pt>
                <c:pt idx="377">
                  <c:v>0.45567446963747282</c:v>
                </c:pt>
                <c:pt idx="378">
                  <c:v>0.46507024000040031</c:v>
                </c:pt>
                <c:pt idx="379">
                  <c:v>0.46822930485197833</c:v>
                </c:pt>
                <c:pt idx="380">
                  <c:v>0.47311977283555651</c:v>
                </c:pt>
                <c:pt idx="381">
                  <c:v>0.47404182169053422</c:v>
                </c:pt>
                <c:pt idx="382">
                  <c:v>0.48053601252526157</c:v>
                </c:pt>
                <c:pt idx="383">
                  <c:v>0.48247508429068553</c:v>
                </c:pt>
                <c:pt idx="384">
                  <c:v>0.4875916666747655</c:v>
                </c:pt>
                <c:pt idx="385">
                  <c:v>0.48866140858753004</c:v>
                </c:pt>
                <c:pt idx="386">
                  <c:v>0.49447450722193631</c:v>
                </c:pt>
                <c:pt idx="387">
                  <c:v>0.49819408964484246</c:v>
                </c:pt>
                <c:pt idx="388">
                  <c:v>0.50096197711386048</c:v>
                </c:pt>
                <c:pt idx="389">
                  <c:v>0.50185715751374427</c:v>
                </c:pt>
                <c:pt idx="390">
                  <c:v>0.51032928821294377</c:v>
                </c:pt>
                <c:pt idx="391">
                  <c:v>0.51922080571354634</c:v>
                </c:pt>
                <c:pt idx="392">
                  <c:v>0.52225653490066892</c:v>
                </c:pt>
                <c:pt idx="393">
                  <c:v>0.5224245126118312</c:v>
                </c:pt>
                <c:pt idx="394">
                  <c:v>0.52546123823654844</c:v>
                </c:pt>
                <c:pt idx="395">
                  <c:v>0.53383105284190879</c:v>
                </c:pt>
                <c:pt idx="396">
                  <c:v>0.53713451251334843</c:v>
                </c:pt>
                <c:pt idx="397">
                  <c:v>0.53845921683900411</c:v>
                </c:pt>
                <c:pt idx="398">
                  <c:v>0.54751622016883483</c:v>
                </c:pt>
                <c:pt idx="399">
                  <c:v>0.55112210099525516</c:v>
                </c:pt>
                <c:pt idx="400">
                  <c:v>0.56428207499401473</c:v>
                </c:pt>
                <c:pt idx="401">
                  <c:v>0.56560109106349654</c:v>
                </c:pt>
                <c:pt idx="402">
                  <c:v>0.56847270854909882</c:v>
                </c:pt>
                <c:pt idx="403">
                  <c:v>0.56902952746162794</c:v>
                </c:pt>
                <c:pt idx="404">
                  <c:v>0.57284823209129376</c:v>
                </c:pt>
                <c:pt idx="405">
                  <c:v>0.57301397370959517</c:v>
                </c:pt>
                <c:pt idx="406">
                  <c:v>0.57536616401202401</c:v>
                </c:pt>
                <c:pt idx="407">
                  <c:v>0.57901701410609974</c:v>
                </c:pt>
                <c:pt idx="408">
                  <c:v>0.58121162097704038</c:v>
                </c:pt>
                <c:pt idx="409">
                  <c:v>0.58146680738898837</c:v>
                </c:pt>
                <c:pt idx="410">
                  <c:v>0.59181502940724573</c:v>
                </c:pt>
                <c:pt idx="411">
                  <c:v>0.59212360201031533</c:v>
                </c:pt>
                <c:pt idx="412">
                  <c:v>0.59852272941124074</c:v>
                </c:pt>
                <c:pt idx="413">
                  <c:v>0.6225213230705704</c:v>
                </c:pt>
                <c:pt idx="414">
                  <c:v>0.62325590660328722</c:v>
                </c:pt>
                <c:pt idx="415">
                  <c:v>0.62547439468750121</c:v>
                </c:pt>
                <c:pt idx="416">
                  <c:v>0.64031319742721582</c:v>
                </c:pt>
                <c:pt idx="417">
                  <c:v>0.64708376421736347</c:v>
                </c:pt>
                <c:pt idx="418">
                  <c:v>0.65523358098070816</c:v>
                </c:pt>
                <c:pt idx="419">
                  <c:v>0.65580637647983053</c:v>
                </c:pt>
                <c:pt idx="420">
                  <c:v>0.66290413953856442</c:v>
                </c:pt>
                <c:pt idx="421">
                  <c:v>0.66593246857349286</c:v>
                </c:pt>
                <c:pt idx="422">
                  <c:v>0.6843632574204197</c:v>
                </c:pt>
                <c:pt idx="423">
                  <c:v>0.68880155061736859</c:v>
                </c:pt>
                <c:pt idx="424">
                  <c:v>0.68969504749298927</c:v>
                </c:pt>
                <c:pt idx="425">
                  <c:v>0.69101889557314289</c:v>
                </c:pt>
                <c:pt idx="426">
                  <c:v>0.70431965978802835</c:v>
                </c:pt>
                <c:pt idx="427">
                  <c:v>0.70506759712568812</c:v>
                </c:pt>
                <c:pt idx="428">
                  <c:v>0.70912208999597826</c:v>
                </c:pt>
                <c:pt idx="429">
                  <c:v>0.71118400118181913</c:v>
                </c:pt>
                <c:pt idx="430">
                  <c:v>0.71331548482144402</c:v>
                </c:pt>
                <c:pt idx="431">
                  <c:v>0.7139885112845219</c:v>
                </c:pt>
                <c:pt idx="432">
                  <c:v>0.71644222517241207</c:v>
                </c:pt>
                <c:pt idx="433">
                  <c:v>0.72020423114995147</c:v>
                </c:pt>
                <c:pt idx="434">
                  <c:v>0.72836553572387275</c:v>
                </c:pt>
                <c:pt idx="435">
                  <c:v>0.73232591183881102</c:v>
                </c:pt>
                <c:pt idx="436">
                  <c:v>0.73338959720448149</c:v>
                </c:pt>
                <c:pt idx="437">
                  <c:v>0.73763449882191456</c:v>
                </c:pt>
                <c:pt idx="438">
                  <c:v>0.7521887108340668</c:v>
                </c:pt>
                <c:pt idx="439">
                  <c:v>0.75485499665156652</c:v>
                </c:pt>
                <c:pt idx="440">
                  <c:v>0.75845707121856143</c:v>
                </c:pt>
                <c:pt idx="441">
                  <c:v>0.75857508797715134</c:v>
                </c:pt>
                <c:pt idx="442">
                  <c:v>0.76311403797547639</c:v>
                </c:pt>
                <c:pt idx="443">
                  <c:v>0.76529889911050075</c:v>
                </c:pt>
                <c:pt idx="444">
                  <c:v>0.76726477289307904</c:v>
                </c:pt>
                <c:pt idx="445">
                  <c:v>0.77237145626792891</c:v>
                </c:pt>
                <c:pt idx="446">
                  <c:v>0.77566549428490905</c:v>
                </c:pt>
                <c:pt idx="447">
                  <c:v>0.78654306515559003</c:v>
                </c:pt>
                <c:pt idx="448">
                  <c:v>0.78820851157762628</c:v>
                </c:pt>
                <c:pt idx="449">
                  <c:v>0.80156635078397631</c:v>
                </c:pt>
                <c:pt idx="450">
                  <c:v>0.80177091359399988</c:v>
                </c:pt>
                <c:pt idx="451">
                  <c:v>0.80640333201748016</c:v>
                </c:pt>
                <c:pt idx="452">
                  <c:v>0.80679396746290544</c:v>
                </c:pt>
                <c:pt idx="453">
                  <c:v>0.8078504491769174</c:v>
                </c:pt>
                <c:pt idx="454">
                  <c:v>0.81234726897357001</c:v>
                </c:pt>
                <c:pt idx="455">
                  <c:v>0.81240989501376726</c:v>
                </c:pt>
                <c:pt idx="456">
                  <c:v>0.81975611466360121</c:v>
                </c:pt>
                <c:pt idx="457">
                  <c:v>0.82156532585932629</c:v>
                </c:pt>
                <c:pt idx="458">
                  <c:v>0.82422935280790721</c:v>
                </c:pt>
                <c:pt idx="459">
                  <c:v>0.82461931942006772</c:v>
                </c:pt>
                <c:pt idx="460">
                  <c:v>0.82524761317827688</c:v>
                </c:pt>
                <c:pt idx="461">
                  <c:v>0.84996856278064437</c:v>
                </c:pt>
                <c:pt idx="462">
                  <c:v>0.85876583922885175</c:v>
                </c:pt>
                <c:pt idx="463">
                  <c:v>0.86192118286878006</c:v>
                </c:pt>
                <c:pt idx="464">
                  <c:v>0.86526701689152197</c:v>
                </c:pt>
                <c:pt idx="465">
                  <c:v>0.86646057759272588</c:v>
                </c:pt>
                <c:pt idx="466">
                  <c:v>0.86736821677069043</c:v>
                </c:pt>
                <c:pt idx="467">
                  <c:v>0.87071353596203505</c:v>
                </c:pt>
                <c:pt idx="468">
                  <c:v>0.87191227231929713</c:v>
                </c:pt>
                <c:pt idx="469">
                  <c:v>0.87762800893390525</c:v>
                </c:pt>
                <c:pt idx="470">
                  <c:v>0.87767993536837086</c:v>
                </c:pt>
                <c:pt idx="471">
                  <c:v>0.87994902286469068</c:v>
                </c:pt>
                <c:pt idx="472">
                  <c:v>0.88136814014125475</c:v>
                </c:pt>
                <c:pt idx="473">
                  <c:v>0.88138017463922158</c:v>
                </c:pt>
                <c:pt idx="474">
                  <c:v>0.88317556368991323</c:v>
                </c:pt>
                <c:pt idx="475">
                  <c:v>0.8875152526955814</c:v>
                </c:pt>
                <c:pt idx="476">
                  <c:v>0.88954740907501195</c:v>
                </c:pt>
                <c:pt idx="477">
                  <c:v>0.89349265784436693</c:v>
                </c:pt>
                <c:pt idx="478">
                  <c:v>0.89463023852366397</c:v>
                </c:pt>
                <c:pt idx="479">
                  <c:v>0.89847269348797187</c:v>
                </c:pt>
                <c:pt idx="480">
                  <c:v>0.90152957998348349</c:v>
                </c:pt>
                <c:pt idx="481">
                  <c:v>0.90399671530922943</c:v>
                </c:pt>
                <c:pt idx="482">
                  <c:v>0.90669787895406473</c:v>
                </c:pt>
                <c:pt idx="483">
                  <c:v>0.9072644580258975</c:v>
                </c:pt>
                <c:pt idx="484">
                  <c:v>0.90805376086807343</c:v>
                </c:pt>
                <c:pt idx="485">
                  <c:v>0.90896408191004041</c:v>
                </c:pt>
                <c:pt idx="486">
                  <c:v>0.90977800713774815</c:v>
                </c:pt>
                <c:pt idx="487">
                  <c:v>0.91020463883465252</c:v>
                </c:pt>
                <c:pt idx="488">
                  <c:v>0.91193214326818084</c:v>
                </c:pt>
                <c:pt idx="489">
                  <c:v>0.92364025585072307</c:v>
                </c:pt>
                <c:pt idx="490">
                  <c:v>0.92967719639312296</c:v>
                </c:pt>
                <c:pt idx="491">
                  <c:v>0.93179024597484306</c:v>
                </c:pt>
                <c:pt idx="492">
                  <c:v>0.93435889334923594</c:v>
                </c:pt>
                <c:pt idx="493">
                  <c:v>0.94287322031354903</c:v>
                </c:pt>
                <c:pt idx="494">
                  <c:v>0.94929933181312598</c:v>
                </c:pt>
                <c:pt idx="495">
                  <c:v>0.96591990619860479</c:v>
                </c:pt>
                <c:pt idx="496">
                  <c:v>0.97510374736191108</c:v>
                </c:pt>
                <c:pt idx="497">
                  <c:v>0.9830265698316103</c:v>
                </c:pt>
                <c:pt idx="498">
                  <c:v>0.98914940312263888</c:v>
                </c:pt>
                <c:pt idx="499">
                  <c:v>0.99358354390211145</c:v>
                </c:pt>
                <c:pt idx="500">
                  <c:v>0.99385439534751252</c:v>
                </c:pt>
              </c:numCache>
            </c:numRef>
          </c:xVal>
          <c:yVal>
            <c:numRef>
              <c:f>'test function'!$O$7:$O$507</c:f>
              <c:numCache>
                <c:formatCode>0.000</c:formatCode>
                <c:ptCount val="501"/>
                <c:pt idx="0">
                  <c:v>-0.26698963062530667</c:v>
                </c:pt>
                <c:pt idx="1">
                  <c:v>-0.34789770494427913</c:v>
                </c:pt>
                <c:pt idx="2">
                  <c:v>0.19172323270677219</c:v>
                </c:pt>
                <c:pt idx="3">
                  <c:v>-0.22162058452599265</c:v>
                </c:pt>
                <c:pt idx="4">
                  <c:v>-0.20087977956649114</c:v>
                </c:pt>
                <c:pt idx="5">
                  <c:v>0.12628786842433604</c:v>
                </c:pt>
                <c:pt idx="6">
                  <c:v>0.18677295285834133</c:v>
                </c:pt>
                <c:pt idx="7">
                  <c:v>-0.11069290871696802</c:v>
                </c:pt>
                <c:pt idx="8">
                  <c:v>3.0395930797370588E-2</c:v>
                </c:pt>
                <c:pt idx="9">
                  <c:v>0.5406921037061827</c:v>
                </c:pt>
                <c:pt idx="10">
                  <c:v>2.2391817832973643E-2</c:v>
                </c:pt>
                <c:pt idx="11">
                  <c:v>0.13474607974560829</c:v>
                </c:pt>
                <c:pt idx="12">
                  <c:v>6.1444396213250985E-2</c:v>
                </c:pt>
                <c:pt idx="13">
                  <c:v>0.39854352271391441</c:v>
                </c:pt>
                <c:pt idx="14">
                  <c:v>0.55382981085262128</c:v>
                </c:pt>
                <c:pt idx="15">
                  <c:v>5.9706522700360809E-2</c:v>
                </c:pt>
                <c:pt idx="16">
                  <c:v>0.53652197225817955</c:v>
                </c:pt>
                <c:pt idx="17">
                  <c:v>0.68262211936567929</c:v>
                </c:pt>
                <c:pt idx="18">
                  <c:v>0.65302641216787205</c:v>
                </c:pt>
                <c:pt idx="19">
                  <c:v>0.81900475017762253</c:v>
                </c:pt>
                <c:pt idx="20">
                  <c:v>0.73569139871017775</c:v>
                </c:pt>
                <c:pt idx="21">
                  <c:v>0.55088902766235281</c:v>
                </c:pt>
                <c:pt idx="22">
                  <c:v>0.65602101119710199</c:v>
                </c:pt>
                <c:pt idx="23">
                  <c:v>0.52921163514817859</c:v>
                </c:pt>
                <c:pt idx="24">
                  <c:v>0.86606660725251894</c:v>
                </c:pt>
                <c:pt idx="25">
                  <c:v>0.81636314904877305</c:v>
                </c:pt>
                <c:pt idx="26">
                  <c:v>0.80137448834108382</c:v>
                </c:pt>
                <c:pt idx="27">
                  <c:v>1.0606060132673398</c:v>
                </c:pt>
                <c:pt idx="28">
                  <c:v>1.0024432389777782</c:v>
                </c:pt>
                <c:pt idx="29">
                  <c:v>1.3073237375148778</c:v>
                </c:pt>
                <c:pt idx="30">
                  <c:v>1.5599558320900935</c:v>
                </c:pt>
                <c:pt idx="31">
                  <c:v>1.5072222339679406</c:v>
                </c:pt>
                <c:pt idx="32">
                  <c:v>1.7745638396489225</c:v>
                </c:pt>
                <c:pt idx="33">
                  <c:v>1.1665738843947751</c:v>
                </c:pt>
                <c:pt idx="34">
                  <c:v>1.5547699798655883</c:v>
                </c:pt>
                <c:pt idx="35">
                  <c:v>1.4159374488551655</c:v>
                </c:pt>
                <c:pt idx="36">
                  <c:v>1.2420948321511727</c:v>
                </c:pt>
                <c:pt idx="37">
                  <c:v>1.317554302323888</c:v>
                </c:pt>
                <c:pt idx="38">
                  <c:v>1.4919658605225987</c:v>
                </c:pt>
                <c:pt idx="39">
                  <c:v>1.5283058252170911</c:v>
                </c:pt>
                <c:pt idx="40">
                  <c:v>1.8576502527248224</c:v>
                </c:pt>
                <c:pt idx="41">
                  <c:v>2.0109695386870836</c:v>
                </c:pt>
                <c:pt idx="42">
                  <c:v>1.7596530190429047</c:v>
                </c:pt>
                <c:pt idx="43">
                  <c:v>1.6672489676635622</c:v>
                </c:pt>
                <c:pt idx="44">
                  <c:v>1.2795518762346139</c:v>
                </c:pt>
                <c:pt idx="45">
                  <c:v>2.0884435942354442</c:v>
                </c:pt>
                <c:pt idx="46">
                  <c:v>1.7697157024677024</c:v>
                </c:pt>
                <c:pt idx="47">
                  <c:v>1.931778097489141</c:v>
                </c:pt>
                <c:pt idx="48">
                  <c:v>1.9855295726666877</c:v>
                </c:pt>
                <c:pt idx="49">
                  <c:v>1.7040999533617116</c:v>
                </c:pt>
                <c:pt idx="50">
                  <c:v>1.6119301928360934</c:v>
                </c:pt>
                <c:pt idx="51">
                  <c:v>1.8753077603506876</c:v>
                </c:pt>
                <c:pt idx="52">
                  <c:v>2.2333883666555194</c:v>
                </c:pt>
                <c:pt idx="53">
                  <c:v>2.0102473762843518</c:v>
                </c:pt>
                <c:pt idx="54">
                  <c:v>1.9325642307153914</c:v>
                </c:pt>
                <c:pt idx="55">
                  <c:v>1.3502926539723989</c:v>
                </c:pt>
                <c:pt idx="56">
                  <c:v>1.8323221087640491</c:v>
                </c:pt>
                <c:pt idx="57">
                  <c:v>2.1095500011907937</c:v>
                </c:pt>
                <c:pt idx="58">
                  <c:v>2.3118745290301455</c:v>
                </c:pt>
                <c:pt idx="59">
                  <c:v>1.6388578276292063</c:v>
                </c:pt>
                <c:pt idx="60">
                  <c:v>1.8717023281310874</c:v>
                </c:pt>
                <c:pt idx="61">
                  <c:v>1.6663956495775687</c:v>
                </c:pt>
                <c:pt idx="62">
                  <c:v>1.8463197364923534</c:v>
                </c:pt>
                <c:pt idx="63">
                  <c:v>2.3415838726301148</c:v>
                </c:pt>
                <c:pt idx="64">
                  <c:v>2.18707049709576</c:v>
                </c:pt>
                <c:pt idx="65">
                  <c:v>1.9244615935760143</c:v>
                </c:pt>
                <c:pt idx="66">
                  <c:v>1.8788596033740477</c:v>
                </c:pt>
                <c:pt idx="67">
                  <c:v>1.8007834498411341</c:v>
                </c:pt>
                <c:pt idx="68">
                  <c:v>1.8219263370161893</c:v>
                </c:pt>
                <c:pt idx="69">
                  <c:v>1.7713206657215224</c:v>
                </c:pt>
                <c:pt idx="70">
                  <c:v>1.5986709821627672</c:v>
                </c:pt>
                <c:pt idx="71">
                  <c:v>1.714701884924168</c:v>
                </c:pt>
                <c:pt idx="72">
                  <c:v>2.1719965449181413</c:v>
                </c:pt>
                <c:pt idx="73">
                  <c:v>1.7410919480767124</c:v>
                </c:pt>
                <c:pt idx="74">
                  <c:v>1.9380170226091851</c:v>
                </c:pt>
                <c:pt idx="75">
                  <c:v>1.7480036417143969</c:v>
                </c:pt>
                <c:pt idx="76">
                  <c:v>1.858792309380527</c:v>
                </c:pt>
                <c:pt idx="77">
                  <c:v>1.9749043855472812</c:v>
                </c:pt>
                <c:pt idx="78">
                  <c:v>1.7864043031064112</c:v>
                </c:pt>
                <c:pt idx="79">
                  <c:v>2.0256026367239715</c:v>
                </c:pt>
                <c:pt idx="80">
                  <c:v>1.8938084475588668</c:v>
                </c:pt>
                <c:pt idx="81">
                  <c:v>2.002004072549961</c:v>
                </c:pt>
                <c:pt idx="82">
                  <c:v>1.6053144157414918</c:v>
                </c:pt>
                <c:pt idx="83">
                  <c:v>1.7551640254229599</c:v>
                </c:pt>
                <c:pt idx="84">
                  <c:v>1.6812645132035966</c:v>
                </c:pt>
                <c:pt idx="85">
                  <c:v>1.6042511707980709</c:v>
                </c:pt>
                <c:pt idx="86">
                  <c:v>1.4718755606664744</c:v>
                </c:pt>
                <c:pt idx="87">
                  <c:v>1.336883614387278</c:v>
                </c:pt>
                <c:pt idx="88">
                  <c:v>1.5742847118581966</c:v>
                </c:pt>
                <c:pt idx="89">
                  <c:v>1.5983556323819359</c:v>
                </c:pt>
                <c:pt idx="90">
                  <c:v>1.3183350081147029</c:v>
                </c:pt>
                <c:pt idx="91">
                  <c:v>1.3209413078625589</c:v>
                </c:pt>
                <c:pt idx="92">
                  <c:v>1.4583721891850112</c:v>
                </c:pt>
                <c:pt idx="93">
                  <c:v>1.043927035850958</c:v>
                </c:pt>
                <c:pt idx="94">
                  <c:v>1.1631573415311836</c:v>
                </c:pt>
                <c:pt idx="95">
                  <c:v>1.4833124578624153</c:v>
                </c:pt>
                <c:pt idx="96">
                  <c:v>1.6127676274955989</c:v>
                </c:pt>
                <c:pt idx="97">
                  <c:v>0.90158151442448875</c:v>
                </c:pt>
                <c:pt idx="98">
                  <c:v>1.5540599260994579</c:v>
                </c:pt>
                <c:pt idx="99">
                  <c:v>1.2085337751551011</c:v>
                </c:pt>
                <c:pt idx="100">
                  <c:v>1.5406957222667799</c:v>
                </c:pt>
                <c:pt idx="101">
                  <c:v>1.4839384284741635</c:v>
                </c:pt>
                <c:pt idx="102">
                  <c:v>1.3543050848122782</c:v>
                </c:pt>
                <c:pt idx="103">
                  <c:v>1.0840146834322701</c:v>
                </c:pt>
                <c:pt idx="104">
                  <c:v>1.2351965580414395</c:v>
                </c:pt>
                <c:pt idx="105">
                  <c:v>1.262982272728352</c:v>
                </c:pt>
                <c:pt idx="106">
                  <c:v>1.5234816810359941</c:v>
                </c:pt>
                <c:pt idx="107">
                  <c:v>0.88393816168404415</c:v>
                </c:pt>
                <c:pt idx="108">
                  <c:v>0.98661025361167798</c:v>
                </c:pt>
                <c:pt idx="109">
                  <c:v>1.0214189985160245</c:v>
                </c:pt>
                <c:pt idx="110">
                  <c:v>1.1697204512836139</c:v>
                </c:pt>
                <c:pt idx="111">
                  <c:v>1.1769138310645277</c:v>
                </c:pt>
                <c:pt idx="112">
                  <c:v>1.0012482050021632</c:v>
                </c:pt>
                <c:pt idx="113">
                  <c:v>1.2931301925010359</c:v>
                </c:pt>
                <c:pt idx="114">
                  <c:v>1.3700859395531553</c:v>
                </c:pt>
                <c:pt idx="115">
                  <c:v>1.3683790632695263</c:v>
                </c:pt>
                <c:pt idx="116">
                  <c:v>1.0823678474363849</c:v>
                </c:pt>
                <c:pt idx="117">
                  <c:v>1.1071186327155238</c:v>
                </c:pt>
                <c:pt idx="118">
                  <c:v>0.94339011097654857</c:v>
                </c:pt>
                <c:pt idx="119">
                  <c:v>1.5523561816949583</c:v>
                </c:pt>
                <c:pt idx="120">
                  <c:v>0.87737078339729568</c:v>
                </c:pt>
                <c:pt idx="121">
                  <c:v>0.82797476777934664</c:v>
                </c:pt>
                <c:pt idx="122">
                  <c:v>0.71127706980334171</c:v>
                </c:pt>
                <c:pt idx="123">
                  <c:v>0.68974864673202141</c:v>
                </c:pt>
                <c:pt idx="124">
                  <c:v>1.2043606089356924</c:v>
                </c:pt>
                <c:pt idx="125">
                  <c:v>0.75362410519214451</c:v>
                </c:pt>
                <c:pt idx="126">
                  <c:v>0.37730063962980376</c:v>
                </c:pt>
                <c:pt idx="127">
                  <c:v>0.68659555579355802</c:v>
                </c:pt>
                <c:pt idx="128">
                  <c:v>0.48853280185206499</c:v>
                </c:pt>
                <c:pt idx="129">
                  <c:v>0.59524248618764519</c:v>
                </c:pt>
                <c:pt idx="130">
                  <c:v>0.43076700797178724</c:v>
                </c:pt>
                <c:pt idx="131">
                  <c:v>8.7118090973541062E-2</c:v>
                </c:pt>
                <c:pt idx="132">
                  <c:v>0.28413150882881633</c:v>
                </c:pt>
                <c:pt idx="133">
                  <c:v>0.49724379618899694</c:v>
                </c:pt>
                <c:pt idx="134">
                  <c:v>0.50028677808315258</c:v>
                </c:pt>
                <c:pt idx="135">
                  <c:v>1.0150145105186823</c:v>
                </c:pt>
                <c:pt idx="136">
                  <c:v>0.21129277004103741</c:v>
                </c:pt>
                <c:pt idx="137">
                  <c:v>0.79457665499899033</c:v>
                </c:pt>
                <c:pt idx="138">
                  <c:v>0.72622665115066298</c:v>
                </c:pt>
                <c:pt idx="139">
                  <c:v>0.94819005741019513</c:v>
                </c:pt>
                <c:pt idx="140">
                  <c:v>0.26778747255380947</c:v>
                </c:pt>
                <c:pt idx="141">
                  <c:v>0.65747187950054709</c:v>
                </c:pt>
                <c:pt idx="142">
                  <c:v>0.45153671227442899</c:v>
                </c:pt>
                <c:pt idx="143">
                  <c:v>0.29956704462551825</c:v>
                </c:pt>
                <c:pt idx="144">
                  <c:v>0.57643337268562334</c:v>
                </c:pt>
                <c:pt idx="145">
                  <c:v>0.52123388490855027</c:v>
                </c:pt>
                <c:pt idx="146">
                  <c:v>0.69745026254042952</c:v>
                </c:pt>
                <c:pt idx="147">
                  <c:v>0.49165323119182147</c:v>
                </c:pt>
                <c:pt idx="148">
                  <c:v>0.4915826624147025</c:v>
                </c:pt>
                <c:pt idx="149">
                  <c:v>0.44952609067209559</c:v>
                </c:pt>
                <c:pt idx="150">
                  <c:v>0.28534038400690676</c:v>
                </c:pt>
                <c:pt idx="151">
                  <c:v>0.46022724756354816</c:v>
                </c:pt>
                <c:pt idx="152">
                  <c:v>0.59836965592126301</c:v>
                </c:pt>
                <c:pt idx="153">
                  <c:v>0.2537415658024752</c:v>
                </c:pt>
                <c:pt idx="154">
                  <c:v>6.1745197934352847E-2</c:v>
                </c:pt>
                <c:pt idx="155">
                  <c:v>0.37118267211426237</c:v>
                </c:pt>
                <c:pt idx="156">
                  <c:v>0.39916560138026508</c:v>
                </c:pt>
                <c:pt idx="157">
                  <c:v>0.66947736286444326</c:v>
                </c:pt>
                <c:pt idx="158">
                  <c:v>0.47813240443364347</c:v>
                </c:pt>
                <c:pt idx="159">
                  <c:v>0.19329760502887322</c:v>
                </c:pt>
                <c:pt idx="160">
                  <c:v>4.4073792326865674E-2</c:v>
                </c:pt>
                <c:pt idx="161">
                  <c:v>0.20341338632888734</c:v>
                </c:pt>
                <c:pt idx="162">
                  <c:v>-0.15883628725312018</c:v>
                </c:pt>
                <c:pt idx="163">
                  <c:v>0.18950402834608593</c:v>
                </c:pt>
                <c:pt idx="164">
                  <c:v>0.52325874979107345</c:v>
                </c:pt>
                <c:pt idx="165">
                  <c:v>0.51817865017971387</c:v>
                </c:pt>
                <c:pt idx="166">
                  <c:v>0.56619070095042745</c:v>
                </c:pt>
                <c:pt idx="167">
                  <c:v>0.17833788865122002</c:v>
                </c:pt>
                <c:pt idx="168">
                  <c:v>1.4476082322322517E-2</c:v>
                </c:pt>
                <c:pt idx="169">
                  <c:v>5.9492041875112381E-2</c:v>
                </c:pt>
                <c:pt idx="170">
                  <c:v>0.14903451176680754</c:v>
                </c:pt>
                <c:pt idx="171">
                  <c:v>-6.0038254390689272E-2</c:v>
                </c:pt>
                <c:pt idx="172">
                  <c:v>5.6981149989696306E-2</c:v>
                </c:pt>
                <c:pt idx="173">
                  <c:v>9.3202751766526912E-2</c:v>
                </c:pt>
                <c:pt idx="174">
                  <c:v>-0.11305630711055341</c:v>
                </c:pt>
                <c:pt idx="175">
                  <c:v>0.6648160181142051</c:v>
                </c:pt>
                <c:pt idx="176">
                  <c:v>0.62795509635950508</c:v>
                </c:pt>
                <c:pt idx="177">
                  <c:v>-0.13621409561299519</c:v>
                </c:pt>
                <c:pt idx="178">
                  <c:v>-0.22673682755900879</c:v>
                </c:pt>
                <c:pt idx="179">
                  <c:v>0.13241186840206287</c:v>
                </c:pt>
                <c:pt idx="180">
                  <c:v>-7.265870596355431E-2</c:v>
                </c:pt>
                <c:pt idx="181">
                  <c:v>3.5404100679446299E-2</c:v>
                </c:pt>
                <c:pt idx="182">
                  <c:v>0.3271410788621249</c:v>
                </c:pt>
                <c:pt idx="183">
                  <c:v>7.9687440590597514E-2</c:v>
                </c:pt>
                <c:pt idx="184">
                  <c:v>0.27878977956622664</c:v>
                </c:pt>
                <c:pt idx="185">
                  <c:v>-5.1539057373055308E-2</c:v>
                </c:pt>
                <c:pt idx="186">
                  <c:v>0.32456545845390383</c:v>
                </c:pt>
                <c:pt idx="187">
                  <c:v>-6.5406366062789462E-2</c:v>
                </c:pt>
                <c:pt idx="188">
                  <c:v>0.12524739693112014</c:v>
                </c:pt>
                <c:pt idx="189">
                  <c:v>0.3153396038885426</c:v>
                </c:pt>
                <c:pt idx="190">
                  <c:v>6.6940969895304667E-2</c:v>
                </c:pt>
                <c:pt idx="191">
                  <c:v>0.30429073962185327</c:v>
                </c:pt>
                <c:pt idx="192">
                  <c:v>0.22704822330401897</c:v>
                </c:pt>
                <c:pt idx="193">
                  <c:v>-0.140355610862296</c:v>
                </c:pt>
                <c:pt idx="194">
                  <c:v>1.548326291654124E-2</c:v>
                </c:pt>
                <c:pt idx="195">
                  <c:v>5.2078212448237182E-2</c:v>
                </c:pt>
                <c:pt idx="196">
                  <c:v>-3.992076279595777E-2</c:v>
                </c:pt>
                <c:pt idx="197">
                  <c:v>0.39821861960215743</c:v>
                </c:pt>
                <c:pt idx="198">
                  <c:v>3.4274296056401088E-2</c:v>
                </c:pt>
                <c:pt idx="199">
                  <c:v>4.4418362055607681E-2</c:v>
                </c:pt>
                <c:pt idx="200">
                  <c:v>0.17122992362009493</c:v>
                </c:pt>
                <c:pt idx="201">
                  <c:v>0.24770291054252935</c:v>
                </c:pt>
                <c:pt idx="202">
                  <c:v>-7.2760778177650587E-2</c:v>
                </c:pt>
                <c:pt idx="203">
                  <c:v>-0.47915698194873457</c:v>
                </c:pt>
                <c:pt idx="204">
                  <c:v>0.18067356161302034</c:v>
                </c:pt>
                <c:pt idx="205">
                  <c:v>-0.21182505635683943</c:v>
                </c:pt>
                <c:pt idx="206">
                  <c:v>-4.1927891239491547E-2</c:v>
                </c:pt>
                <c:pt idx="207">
                  <c:v>-7.2463921536341527E-2</c:v>
                </c:pt>
                <c:pt idx="208">
                  <c:v>-0.11668366844110273</c:v>
                </c:pt>
                <c:pt idx="209">
                  <c:v>6.8469893821675926E-2</c:v>
                </c:pt>
                <c:pt idx="210">
                  <c:v>0.36137337225911076</c:v>
                </c:pt>
                <c:pt idx="211">
                  <c:v>-0.2886850346608012</c:v>
                </c:pt>
                <c:pt idx="212">
                  <c:v>-0.1568756003767634</c:v>
                </c:pt>
                <c:pt idx="213">
                  <c:v>-0.37036654721008294</c:v>
                </c:pt>
                <c:pt idx="214">
                  <c:v>8.2685010984512475E-2</c:v>
                </c:pt>
                <c:pt idx="215">
                  <c:v>4.3207868882531225E-2</c:v>
                </c:pt>
                <c:pt idx="216">
                  <c:v>-2.7493777195138916E-2</c:v>
                </c:pt>
                <c:pt idx="217">
                  <c:v>8.3724287670012346E-2</c:v>
                </c:pt>
                <c:pt idx="218">
                  <c:v>0.11516857454054252</c:v>
                </c:pt>
                <c:pt idx="219">
                  <c:v>-0.20428054415841942</c:v>
                </c:pt>
                <c:pt idx="220">
                  <c:v>-0.41970158567226634</c:v>
                </c:pt>
                <c:pt idx="221">
                  <c:v>0.15709692634038303</c:v>
                </c:pt>
                <c:pt idx="222">
                  <c:v>0.22792943433560181</c:v>
                </c:pt>
                <c:pt idx="223">
                  <c:v>-1.034294956866591E-2</c:v>
                </c:pt>
                <c:pt idx="224">
                  <c:v>0.2886375125546754</c:v>
                </c:pt>
                <c:pt idx="225">
                  <c:v>0.10277823687862413</c:v>
                </c:pt>
                <c:pt idx="226">
                  <c:v>2.6073752868943784E-2</c:v>
                </c:pt>
                <c:pt idx="227">
                  <c:v>-0.12079005227844158</c:v>
                </c:pt>
                <c:pt idx="228">
                  <c:v>0.30266823775544616</c:v>
                </c:pt>
                <c:pt idx="229">
                  <c:v>7.4793053130864817E-2</c:v>
                </c:pt>
                <c:pt idx="230">
                  <c:v>-0.14625603255360173</c:v>
                </c:pt>
                <c:pt idx="231">
                  <c:v>0.17660194560732462</c:v>
                </c:pt>
                <c:pt idx="232">
                  <c:v>0.25732895854024501</c:v>
                </c:pt>
                <c:pt idx="233">
                  <c:v>0.37122831923195088</c:v>
                </c:pt>
                <c:pt idx="234">
                  <c:v>1.9240723521552899E-3</c:v>
                </c:pt>
                <c:pt idx="235">
                  <c:v>5.6036136353517785E-2</c:v>
                </c:pt>
                <c:pt idx="236">
                  <c:v>-0.19947453174839319</c:v>
                </c:pt>
                <c:pt idx="237">
                  <c:v>4.6031075736576429E-2</c:v>
                </c:pt>
                <c:pt idx="238">
                  <c:v>0.38255065386895071</c:v>
                </c:pt>
                <c:pt idx="239">
                  <c:v>7.0005479296450554E-2</c:v>
                </c:pt>
                <c:pt idx="240">
                  <c:v>7.2151390255926956E-2</c:v>
                </c:pt>
                <c:pt idx="241">
                  <c:v>0.29624316199491652</c:v>
                </c:pt>
                <c:pt idx="242">
                  <c:v>0.11133773413906708</c:v>
                </c:pt>
                <c:pt idx="243">
                  <c:v>-7.6219963568043836E-3</c:v>
                </c:pt>
                <c:pt idx="244">
                  <c:v>0.10905172921140241</c:v>
                </c:pt>
                <c:pt idx="245">
                  <c:v>9.7959495181666412E-2</c:v>
                </c:pt>
                <c:pt idx="246">
                  <c:v>0.15147454781427219</c:v>
                </c:pt>
                <c:pt idx="247">
                  <c:v>-0.19385841387051322</c:v>
                </c:pt>
                <c:pt idx="248">
                  <c:v>-1.8504344318543905E-2</c:v>
                </c:pt>
                <c:pt idx="249">
                  <c:v>-0.17592533377701242</c:v>
                </c:pt>
                <c:pt idx="250">
                  <c:v>-0.14819229724694324</c:v>
                </c:pt>
                <c:pt idx="251">
                  <c:v>-0.12481436206711205</c:v>
                </c:pt>
                <c:pt idx="252">
                  <c:v>0.27660864503206944</c:v>
                </c:pt>
                <c:pt idx="253">
                  <c:v>-1.9859063771075158E-2</c:v>
                </c:pt>
                <c:pt idx="254">
                  <c:v>-8.4036268034073963E-2</c:v>
                </c:pt>
                <c:pt idx="255">
                  <c:v>-0.11886128318324654</c:v>
                </c:pt>
                <c:pt idx="256">
                  <c:v>0.21385942752254772</c:v>
                </c:pt>
                <c:pt idx="257">
                  <c:v>0.4917577566762546</c:v>
                </c:pt>
                <c:pt idx="258">
                  <c:v>-0.18642071663898668</c:v>
                </c:pt>
                <c:pt idx="259">
                  <c:v>7.806305986978132E-2</c:v>
                </c:pt>
                <c:pt idx="260">
                  <c:v>-5.1976947808553844E-2</c:v>
                </c:pt>
                <c:pt idx="261">
                  <c:v>7.36588394984743E-3</c:v>
                </c:pt>
                <c:pt idx="262">
                  <c:v>-0.33174574899415743</c:v>
                </c:pt>
                <c:pt idx="263">
                  <c:v>-0.12446935199446055</c:v>
                </c:pt>
                <c:pt idx="264">
                  <c:v>6.619321034583861E-2</c:v>
                </c:pt>
                <c:pt idx="265">
                  <c:v>0.29730979153379711</c:v>
                </c:pt>
                <c:pt idx="266">
                  <c:v>0.30843633005008592</c:v>
                </c:pt>
                <c:pt idx="267">
                  <c:v>-0.15025309663541367</c:v>
                </c:pt>
                <c:pt idx="268">
                  <c:v>-0.26849262957209519</c:v>
                </c:pt>
                <c:pt idx="269">
                  <c:v>-0.38822014864628146</c:v>
                </c:pt>
                <c:pt idx="270">
                  <c:v>0.4185355485367242</c:v>
                </c:pt>
                <c:pt idx="271">
                  <c:v>-1.725628251997452E-2</c:v>
                </c:pt>
                <c:pt idx="272">
                  <c:v>0.17883203539746048</c:v>
                </c:pt>
                <c:pt idx="273">
                  <c:v>-0.19588080283643267</c:v>
                </c:pt>
                <c:pt idx="274">
                  <c:v>-6.7696951004888234E-2</c:v>
                </c:pt>
                <c:pt idx="275">
                  <c:v>-0.20467350135313628</c:v>
                </c:pt>
                <c:pt idx="276">
                  <c:v>9.8947077569670139E-2</c:v>
                </c:pt>
                <c:pt idx="277">
                  <c:v>5.8464218398722137E-2</c:v>
                </c:pt>
                <c:pt idx="278">
                  <c:v>0.13254868788368881</c:v>
                </c:pt>
                <c:pt idx="279">
                  <c:v>0.33341856449089408</c:v>
                </c:pt>
                <c:pt idx="280">
                  <c:v>-4.9497900183223364E-2</c:v>
                </c:pt>
                <c:pt idx="281">
                  <c:v>-0.1911915822623492</c:v>
                </c:pt>
                <c:pt idx="282">
                  <c:v>8.7908667480082317E-2</c:v>
                </c:pt>
                <c:pt idx="283">
                  <c:v>-0.17070872840940426</c:v>
                </c:pt>
                <c:pt idx="284">
                  <c:v>0.22077358873846425</c:v>
                </c:pt>
                <c:pt idx="285">
                  <c:v>-6.7678512602581994E-2</c:v>
                </c:pt>
                <c:pt idx="286">
                  <c:v>-0.25577973227060957</c:v>
                </c:pt>
                <c:pt idx="287">
                  <c:v>-0.14033295388853695</c:v>
                </c:pt>
                <c:pt idx="288">
                  <c:v>-0.12889728907667411</c:v>
                </c:pt>
                <c:pt idx="289">
                  <c:v>6.6926864738890757E-2</c:v>
                </c:pt>
                <c:pt idx="290">
                  <c:v>0.23622690045632166</c:v>
                </c:pt>
                <c:pt idx="291">
                  <c:v>-8.1650520667018001E-2</c:v>
                </c:pt>
                <c:pt idx="292">
                  <c:v>2.9376712317094489E-2</c:v>
                </c:pt>
                <c:pt idx="293">
                  <c:v>0.47656014714446526</c:v>
                </c:pt>
                <c:pt idx="294">
                  <c:v>-0.31866394608190535</c:v>
                </c:pt>
                <c:pt idx="295">
                  <c:v>0.25331279737780021</c:v>
                </c:pt>
                <c:pt idx="296">
                  <c:v>7.6525128859139466E-3</c:v>
                </c:pt>
                <c:pt idx="297">
                  <c:v>-1.2410164839902156E-2</c:v>
                </c:pt>
                <c:pt idx="298">
                  <c:v>0.15950606946225215</c:v>
                </c:pt>
                <c:pt idx="299">
                  <c:v>-3.6629821144922178E-2</c:v>
                </c:pt>
                <c:pt idx="300">
                  <c:v>5.1633350961188137E-2</c:v>
                </c:pt>
                <c:pt idx="301">
                  <c:v>0.32211936109798833</c:v>
                </c:pt>
                <c:pt idx="302">
                  <c:v>-0.20875226925254192</c:v>
                </c:pt>
                <c:pt idx="303">
                  <c:v>5.3654388654222618E-3</c:v>
                </c:pt>
                <c:pt idx="304">
                  <c:v>7.604429371308348E-3</c:v>
                </c:pt>
                <c:pt idx="305">
                  <c:v>3.4177230393502359E-4</c:v>
                </c:pt>
                <c:pt idx="306">
                  <c:v>0.1221996032673927</c:v>
                </c:pt>
                <c:pt idx="307">
                  <c:v>-0.29490599829293296</c:v>
                </c:pt>
                <c:pt idx="308">
                  <c:v>0.12321173238881697</c:v>
                </c:pt>
                <c:pt idx="309">
                  <c:v>6.3434009421410198E-2</c:v>
                </c:pt>
                <c:pt idx="310">
                  <c:v>-0.17157997932942765</c:v>
                </c:pt>
                <c:pt idx="311">
                  <c:v>0.16560910014175007</c:v>
                </c:pt>
                <c:pt idx="312">
                  <c:v>0.18872628641995592</c:v>
                </c:pt>
                <c:pt idx="313">
                  <c:v>0.12622786971711647</c:v>
                </c:pt>
                <c:pt idx="314">
                  <c:v>-0.10719572158801483</c:v>
                </c:pt>
                <c:pt idx="315">
                  <c:v>0.25318275584352257</c:v>
                </c:pt>
                <c:pt idx="316">
                  <c:v>0.1234641856712031</c:v>
                </c:pt>
                <c:pt idx="317">
                  <c:v>-9.8960449743943468E-2</c:v>
                </c:pt>
                <c:pt idx="318">
                  <c:v>0.24112754034636222</c:v>
                </c:pt>
                <c:pt idx="319">
                  <c:v>2.2783945332516549E-2</c:v>
                </c:pt>
                <c:pt idx="320">
                  <c:v>0.25708748772943524</c:v>
                </c:pt>
                <c:pt idx="321">
                  <c:v>-0.20895739289229026</c:v>
                </c:pt>
                <c:pt idx="322">
                  <c:v>0.13331752729632615</c:v>
                </c:pt>
                <c:pt idx="323">
                  <c:v>0.46828384859338101</c:v>
                </c:pt>
                <c:pt idx="324">
                  <c:v>0.20363325743860883</c:v>
                </c:pt>
                <c:pt idx="325">
                  <c:v>-2.1823537429194406E-2</c:v>
                </c:pt>
                <c:pt idx="326">
                  <c:v>0.3246155598915218</c:v>
                </c:pt>
                <c:pt idx="327">
                  <c:v>-0.31016051465067823</c:v>
                </c:pt>
                <c:pt idx="328">
                  <c:v>-0.1722725555160165</c:v>
                </c:pt>
                <c:pt idx="329">
                  <c:v>6.637104254432738E-2</c:v>
                </c:pt>
                <c:pt idx="330">
                  <c:v>0.1165040271996662</c:v>
                </c:pt>
                <c:pt idx="331">
                  <c:v>2.8267594936619955E-2</c:v>
                </c:pt>
                <c:pt idx="332">
                  <c:v>1.4074414197832869E-2</c:v>
                </c:pt>
                <c:pt idx="333">
                  <c:v>8.5898781524119172E-2</c:v>
                </c:pt>
                <c:pt idx="334">
                  <c:v>-0.16034027443708035</c:v>
                </c:pt>
                <c:pt idx="335">
                  <c:v>-0.44814862109134712</c:v>
                </c:pt>
                <c:pt idx="336">
                  <c:v>-0.12958017161453725</c:v>
                </c:pt>
                <c:pt idx="337">
                  <c:v>0.21782293623824317</c:v>
                </c:pt>
                <c:pt idx="338">
                  <c:v>-4.2759214238847348E-2</c:v>
                </c:pt>
                <c:pt idx="339">
                  <c:v>7.6452060376778513E-2</c:v>
                </c:pt>
                <c:pt idx="340">
                  <c:v>0.14728448796597707</c:v>
                </c:pt>
                <c:pt idx="341">
                  <c:v>0.27007485381999885</c:v>
                </c:pt>
                <c:pt idx="342">
                  <c:v>0.35098942535146926</c:v>
                </c:pt>
                <c:pt idx="343">
                  <c:v>0.1985418185383398</c:v>
                </c:pt>
                <c:pt idx="344">
                  <c:v>8.9965626516630509E-2</c:v>
                </c:pt>
                <c:pt idx="345">
                  <c:v>4.5914157806663261E-2</c:v>
                </c:pt>
                <c:pt idx="346">
                  <c:v>3.556002061864294E-3</c:v>
                </c:pt>
                <c:pt idx="347">
                  <c:v>-0.184433635304036</c:v>
                </c:pt>
                <c:pt idx="348">
                  <c:v>0.21834972716877263</c:v>
                </c:pt>
                <c:pt idx="349">
                  <c:v>0.26490387958254746</c:v>
                </c:pt>
                <c:pt idx="350">
                  <c:v>0.22426768142081105</c:v>
                </c:pt>
                <c:pt idx="351">
                  <c:v>0.22052436968627542</c:v>
                </c:pt>
                <c:pt idx="352">
                  <c:v>0.45196903183958881</c:v>
                </c:pt>
                <c:pt idx="353">
                  <c:v>0.20695804542360191</c:v>
                </c:pt>
                <c:pt idx="354">
                  <c:v>0.22857747874824738</c:v>
                </c:pt>
                <c:pt idx="355">
                  <c:v>-0.28326362657360921</c:v>
                </c:pt>
                <c:pt idx="356">
                  <c:v>0.66499129150686787</c:v>
                </c:pt>
                <c:pt idx="357">
                  <c:v>3.1577321091598193E-2</c:v>
                </c:pt>
                <c:pt idx="358">
                  <c:v>0.2818239746209153</c:v>
                </c:pt>
                <c:pt idx="359">
                  <c:v>0.2109096271008194</c:v>
                </c:pt>
                <c:pt idx="360">
                  <c:v>6.5872766586672626E-3</c:v>
                </c:pt>
                <c:pt idx="361">
                  <c:v>0.53185952720177587</c:v>
                </c:pt>
                <c:pt idx="362">
                  <c:v>0.35985636638290475</c:v>
                </c:pt>
                <c:pt idx="363">
                  <c:v>5.8710007435549633E-2</c:v>
                </c:pt>
                <c:pt idx="364">
                  <c:v>0.32102682903969781</c:v>
                </c:pt>
                <c:pt idx="365">
                  <c:v>0.41741299496666062</c:v>
                </c:pt>
                <c:pt idx="366">
                  <c:v>0.18895511918516322</c:v>
                </c:pt>
                <c:pt idx="367">
                  <c:v>0.52360903524261904</c:v>
                </c:pt>
                <c:pt idx="368">
                  <c:v>-0.14419312148949476</c:v>
                </c:pt>
                <c:pt idx="369">
                  <c:v>-0.18829076760978625</c:v>
                </c:pt>
                <c:pt idx="370">
                  <c:v>0.40396504990153115</c:v>
                </c:pt>
                <c:pt idx="371">
                  <c:v>8.7151766788236829E-3</c:v>
                </c:pt>
                <c:pt idx="372">
                  <c:v>-0.12695419572079356</c:v>
                </c:pt>
                <c:pt idx="373">
                  <c:v>0.14128387989634192</c:v>
                </c:pt>
                <c:pt idx="374">
                  <c:v>7.6209883303709716E-2</c:v>
                </c:pt>
                <c:pt idx="375">
                  <c:v>0.38377238977787093</c:v>
                </c:pt>
                <c:pt idx="376">
                  <c:v>0.60697723943027526</c:v>
                </c:pt>
                <c:pt idx="377">
                  <c:v>0.20861149363208856</c:v>
                </c:pt>
                <c:pt idx="378">
                  <c:v>0.35098408345633603</c:v>
                </c:pt>
                <c:pt idx="379">
                  <c:v>0.14323805612074469</c:v>
                </c:pt>
                <c:pt idx="380">
                  <c:v>0.27145089272827061</c:v>
                </c:pt>
                <c:pt idx="381">
                  <c:v>0.3829235303496088</c:v>
                </c:pt>
                <c:pt idx="382">
                  <c:v>0.10264844130389911</c:v>
                </c:pt>
                <c:pt idx="383">
                  <c:v>-0.20126316988101717</c:v>
                </c:pt>
                <c:pt idx="384">
                  <c:v>0.7434791218209682</c:v>
                </c:pt>
                <c:pt idx="385">
                  <c:v>9.0784527613553712E-2</c:v>
                </c:pt>
                <c:pt idx="386">
                  <c:v>0.45932767333080515</c:v>
                </c:pt>
                <c:pt idx="387">
                  <c:v>0.63062843760755993</c:v>
                </c:pt>
                <c:pt idx="388">
                  <c:v>0.74808788255712821</c:v>
                </c:pt>
                <c:pt idx="389">
                  <c:v>0.25048361750603854</c:v>
                </c:pt>
                <c:pt idx="390">
                  <c:v>0.17857710364262253</c:v>
                </c:pt>
                <c:pt idx="391">
                  <c:v>0.18357726646568351</c:v>
                </c:pt>
                <c:pt idx="392">
                  <c:v>0.15217310353725794</c:v>
                </c:pt>
                <c:pt idx="393">
                  <c:v>0.39760932769020324</c:v>
                </c:pt>
                <c:pt idx="394">
                  <c:v>0.38978862787398483</c:v>
                </c:pt>
                <c:pt idx="395">
                  <c:v>0.54295167977993797</c:v>
                </c:pt>
                <c:pt idx="396">
                  <c:v>0.622387651048257</c:v>
                </c:pt>
                <c:pt idx="397">
                  <c:v>0.24099754610754781</c:v>
                </c:pt>
                <c:pt idx="398">
                  <c:v>1.1941605661552639</c:v>
                </c:pt>
                <c:pt idx="399">
                  <c:v>-5.6007683282449094E-2</c:v>
                </c:pt>
                <c:pt idx="400">
                  <c:v>0.33891750635121254</c:v>
                </c:pt>
                <c:pt idx="401">
                  <c:v>0.19050065517745857</c:v>
                </c:pt>
                <c:pt idx="402">
                  <c:v>0.5188302309578442</c:v>
                </c:pt>
                <c:pt idx="403">
                  <c:v>0.31659716714076108</c:v>
                </c:pt>
                <c:pt idx="404">
                  <c:v>0.64654737994841227</c:v>
                </c:pt>
                <c:pt idx="405">
                  <c:v>0.25498142846249494</c:v>
                </c:pt>
                <c:pt idx="406">
                  <c:v>0.44037905456527682</c:v>
                </c:pt>
                <c:pt idx="407">
                  <c:v>0.19313998920101461</c:v>
                </c:pt>
                <c:pt idx="408">
                  <c:v>0.65668520707886313</c:v>
                </c:pt>
                <c:pt idx="409">
                  <c:v>0.39570438455086504</c:v>
                </c:pt>
                <c:pt idx="410">
                  <c:v>0.55782020525270082</c:v>
                </c:pt>
                <c:pt idx="411">
                  <c:v>0.4746450333829183</c:v>
                </c:pt>
                <c:pt idx="412">
                  <c:v>0.79451287337340082</c:v>
                </c:pt>
                <c:pt idx="413">
                  <c:v>9.2178652178470599E-2</c:v>
                </c:pt>
                <c:pt idx="414">
                  <c:v>0.3411751864310848</c:v>
                </c:pt>
                <c:pt idx="415">
                  <c:v>0.50334353904272933</c:v>
                </c:pt>
                <c:pt idx="416">
                  <c:v>7.6683197695103622E-2</c:v>
                </c:pt>
                <c:pt idx="417">
                  <c:v>0.37999984350607041</c:v>
                </c:pt>
                <c:pt idx="418">
                  <c:v>0.14193949671904865</c:v>
                </c:pt>
                <c:pt idx="419">
                  <c:v>5.1792372974918732E-2</c:v>
                </c:pt>
                <c:pt idx="420">
                  <c:v>0.61858644921635442</c:v>
                </c:pt>
                <c:pt idx="421">
                  <c:v>0.61333066372195355</c:v>
                </c:pt>
                <c:pt idx="422">
                  <c:v>0.53422257628373604</c:v>
                </c:pt>
                <c:pt idx="423">
                  <c:v>0.37044287555126443</c:v>
                </c:pt>
                <c:pt idx="424">
                  <c:v>0.48907765340041887</c:v>
                </c:pt>
                <c:pt idx="425">
                  <c:v>0.39080730719058798</c:v>
                </c:pt>
                <c:pt idx="426">
                  <c:v>0.33708637664490915</c:v>
                </c:pt>
                <c:pt idx="427">
                  <c:v>0.3254777612710682</c:v>
                </c:pt>
                <c:pt idx="428">
                  <c:v>0.2287714834128789</c:v>
                </c:pt>
                <c:pt idx="429">
                  <c:v>0.65087707508234993</c:v>
                </c:pt>
                <c:pt idx="430">
                  <c:v>0.5475564478204592</c:v>
                </c:pt>
                <c:pt idx="431">
                  <c:v>0.16287379312667444</c:v>
                </c:pt>
                <c:pt idx="432">
                  <c:v>0.77067668362823571</c:v>
                </c:pt>
                <c:pt idx="433">
                  <c:v>1.093917935396489</c:v>
                </c:pt>
                <c:pt idx="434">
                  <c:v>0.50121730023893696</c:v>
                </c:pt>
                <c:pt idx="435">
                  <c:v>0.71594014067985201</c:v>
                </c:pt>
                <c:pt idx="436">
                  <c:v>0.57538265727750704</c:v>
                </c:pt>
                <c:pt idx="437">
                  <c:v>0.52649284133648777</c:v>
                </c:pt>
                <c:pt idx="438">
                  <c:v>0.72849166069067084</c:v>
                </c:pt>
                <c:pt idx="439">
                  <c:v>0.44185506242172273</c:v>
                </c:pt>
                <c:pt idx="440">
                  <c:v>0.75009151240244509</c:v>
                </c:pt>
                <c:pt idx="441">
                  <c:v>0.30105925461893412</c:v>
                </c:pt>
                <c:pt idx="442">
                  <c:v>0.51817826840823356</c:v>
                </c:pt>
                <c:pt idx="443">
                  <c:v>0.49432094317925745</c:v>
                </c:pt>
                <c:pt idx="444">
                  <c:v>0.56059154592730565</c:v>
                </c:pt>
                <c:pt idx="445">
                  <c:v>0.38197626685321007</c:v>
                </c:pt>
                <c:pt idx="446">
                  <c:v>0.59386820395613948</c:v>
                </c:pt>
                <c:pt idx="447">
                  <c:v>0.11357831184426884</c:v>
                </c:pt>
                <c:pt idx="448">
                  <c:v>0.16083659846272169</c:v>
                </c:pt>
                <c:pt idx="449">
                  <c:v>0.25683779844425758</c:v>
                </c:pt>
                <c:pt idx="450">
                  <c:v>4.2242749013238268E-2</c:v>
                </c:pt>
                <c:pt idx="451">
                  <c:v>0.36474200068972412</c:v>
                </c:pt>
                <c:pt idx="452">
                  <c:v>0.48178210062615395</c:v>
                </c:pt>
                <c:pt idx="453">
                  <c:v>0.62337196915110837</c:v>
                </c:pt>
                <c:pt idx="454">
                  <c:v>0.15376278283191366</c:v>
                </c:pt>
                <c:pt idx="455">
                  <c:v>0.12861818772242045</c:v>
                </c:pt>
                <c:pt idx="456">
                  <c:v>0.76980892109572174</c:v>
                </c:pt>
                <c:pt idx="457">
                  <c:v>0.46158290800384305</c:v>
                </c:pt>
                <c:pt idx="458">
                  <c:v>0.30492820052286618</c:v>
                </c:pt>
                <c:pt idx="459">
                  <c:v>0.31542978600031418</c:v>
                </c:pt>
                <c:pt idx="460">
                  <c:v>0.61225135121375285</c:v>
                </c:pt>
                <c:pt idx="461">
                  <c:v>-0.31067954865984154</c:v>
                </c:pt>
                <c:pt idx="462">
                  <c:v>-0.10774657172411528</c:v>
                </c:pt>
                <c:pt idx="463">
                  <c:v>0.31356363651570829</c:v>
                </c:pt>
                <c:pt idx="464">
                  <c:v>-6.6878230511196818E-2</c:v>
                </c:pt>
                <c:pt idx="465">
                  <c:v>0.47697352405796045</c:v>
                </c:pt>
                <c:pt idx="466">
                  <c:v>0.25924602153043852</c:v>
                </c:pt>
                <c:pt idx="467">
                  <c:v>-0.33009078893481208</c:v>
                </c:pt>
                <c:pt idx="468">
                  <c:v>0.15163046558652624</c:v>
                </c:pt>
                <c:pt idx="469">
                  <c:v>0.42248684019627802</c:v>
                </c:pt>
                <c:pt idx="470">
                  <c:v>-9.1455199266471054E-2</c:v>
                </c:pt>
                <c:pt idx="471">
                  <c:v>0.21576191087829025</c:v>
                </c:pt>
                <c:pt idx="472">
                  <c:v>0.43953533984609428</c:v>
                </c:pt>
                <c:pt idx="473">
                  <c:v>0.10855926340423899</c:v>
                </c:pt>
                <c:pt idx="474">
                  <c:v>0.18371440196379296</c:v>
                </c:pt>
                <c:pt idx="475">
                  <c:v>-2.2515280725299819E-2</c:v>
                </c:pt>
                <c:pt idx="476">
                  <c:v>0.13555248375206602</c:v>
                </c:pt>
                <c:pt idx="477">
                  <c:v>0.1936810067854326</c:v>
                </c:pt>
                <c:pt idx="478">
                  <c:v>0.28894275694790084</c:v>
                </c:pt>
                <c:pt idx="479">
                  <c:v>0.26059526657018095</c:v>
                </c:pt>
                <c:pt idx="480">
                  <c:v>0.3239896830144251</c:v>
                </c:pt>
                <c:pt idx="481">
                  <c:v>0.58493424164555008</c:v>
                </c:pt>
                <c:pt idx="482">
                  <c:v>0.39294311943874549</c:v>
                </c:pt>
                <c:pt idx="483">
                  <c:v>0.37825768456692899</c:v>
                </c:pt>
                <c:pt idx="484">
                  <c:v>0.16282326714964301</c:v>
                </c:pt>
                <c:pt idx="485">
                  <c:v>-0.35423990088631963</c:v>
                </c:pt>
                <c:pt idx="486">
                  <c:v>0.33268903062815081</c:v>
                </c:pt>
                <c:pt idx="487">
                  <c:v>9.0318263074216407E-2</c:v>
                </c:pt>
                <c:pt idx="488">
                  <c:v>-0.17347900719288617</c:v>
                </c:pt>
                <c:pt idx="489">
                  <c:v>0.20250522111256614</c:v>
                </c:pt>
                <c:pt idx="490">
                  <c:v>0.22364660588571472</c:v>
                </c:pt>
                <c:pt idx="491">
                  <c:v>0.18404830424584701</c:v>
                </c:pt>
                <c:pt idx="492">
                  <c:v>0.29641324474048936</c:v>
                </c:pt>
                <c:pt idx="493">
                  <c:v>-5.2655330248967402E-2</c:v>
                </c:pt>
                <c:pt idx="494">
                  <c:v>9.7005605217875809E-2</c:v>
                </c:pt>
                <c:pt idx="495">
                  <c:v>0.12919380373582925</c:v>
                </c:pt>
                <c:pt idx="496">
                  <c:v>0.12214298957561315</c:v>
                </c:pt>
                <c:pt idx="497">
                  <c:v>-2.086347037582123E-2</c:v>
                </c:pt>
                <c:pt idx="498">
                  <c:v>-7.6335502234601449E-2</c:v>
                </c:pt>
                <c:pt idx="499">
                  <c:v>-0.21664665559482296</c:v>
                </c:pt>
                <c:pt idx="500">
                  <c:v>-6.9831543413228295E-2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47-4C53-B095-3C309E6E503D}"/>
            </c:ext>
          </c:extLst>
        </c:ser>
        <c:ser>
          <c:idx val="3"/>
          <c:order val="2"/>
          <c:tx>
            <c:v>ANN-low 5%-α=0.08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'test function'!$N$7:$N$507</c:f>
              <c:numCache>
                <c:formatCode>0.000</c:formatCode>
                <c:ptCount val="501"/>
                <c:pt idx="0">
                  <c:v>-0.99569429756711392</c:v>
                </c:pt>
                <c:pt idx="1">
                  <c:v>-0.99568056419404494</c:v>
                </c:pt>
                <c:pt idx="2">
                  <c:v>-0.99321005299294041</c:v>
                </c:pt>
                <c:pt idx="3">
                  <c:v>-0.9901713635457996</c:v>
                </c:pt>
                <c:pt idx="4">
                  <c:v>-0.98708933171046187</c:v>
                </c:pt>
                <c:pt idx="5">
                  <c:v>-0.9835524245552274</c:v>
                </c:pt>
                <c:pt idx="6">
                  <c:v>-0.98167576942930945</c:v>
                </c:pt>
                <c:pt idx="7">
                  <c:v>-0.97758000590186755</c:v>
                </c:pt>
                <c:pt idx="8">
                  <c:v>-0.97382748768372718</c:v>
                </c:pt>
                <c:pt idx="9">
                  <c:v>-0.96711666778159233</c:v>
                </c:pt>
                <c:pt idx="10">
                  <c:v>-0.9564964002773173</c:v>
                </c:pt>
                <c:pt idx="11">
                  <c:v>-0.94788637258041986</c:v>
                </c:pt>
                <c:pt idx="12">
                  <c:v>-0.94584243051856776</c:v>
                </c:pt>
                <c:pt idx="13">
                  <c:v>-0.94250841773549543</c:v>
                </c:pt>
                <c:pt idx="14">
                  <c:v>-0.94004832683049599</c:v>
                </c:pt>
                <c:pt idx="15">
                  <c:v>-0.93570579262225606</c:v>
                </c:pt>
                <c:pt idx="16">
                  <c:v>-0.93550746334227797</c:v>
                </c:pt>
                <c:pt idx="17">
                  <c:v>-0.93482258097911153</c:v>
                </c:pt>
                <c:pt idx="18">
                  <c:v>-0.93349182562365618</c:v>
                </c:pt>
                <c:pt idx="19">
                  <c:v>-0.9320361516103155</c:v>
                </c:pt>
                <c:pt idx="20">
                  <c:v>-0.92216007715921622</c:v>
                </c:pt>
                <c:pt idx="21">
                  <c:v>-0.9213429530640409</c:v>
                </c:pt>
                <c:pt idx="22">
                  <c:v>-0.91812831488684821</c:v>
                </c:pt>
                <c:pt idx="23">
                  <c:v>-0.91268822296765295</c:v>
                </c:pt>
                <c:pt idx="24">
                  <c:v>-0.90941232492293933</c:v>
                </c:pt>
                <c:pt idx="25">
                  <c:v>-0.89188450104523675</c:v>
                </c:pt>
                <c:pt idx="26">
                  <c:v>-0.8876090435688202</c:v>
                </c:pt>
                <c:pt idx="27">
                  <c:v>-0.88608525099301949</c:v>
                </c:pt>
                <c:pt idx="28">
                  <c:v>-0.88066697938096072</c:v>
                </c:pt>
                <c:pt idx="29">
                  <c:v>-0.87425009186275759</c:v>
                </c:pt>
                <c:pt idx="30">
                  <c:v>-0.86675520692845365</c:v>
                </c:pt>
                <c:pt idx="31">
                  <c:v>-0.86534099770392836</c:v>
                </c:pt>
                <c:pt idx="32">
                  <c:v>-0.86068345085598086</c:v>
                </c:pt>
                <c:pt idx="33">
                  <c:v>-0.86048938185259183</c:v>
                </c:pt>
                <c:pt idx="34">
                  <c:v>-0.85994439006333812</c:v>
                </c:pt>
                <c:pt idx="35">
                  <c:v>-0.84598411027436771</c:v>
                </c:pt>
                <c:pt idx="36">
                  <c:v>-0.83840833569535089</c:v>
                </c:pt>
                <c:pt idx="37">
                  <c:v>-0.83787060290430371</c:v>
                </c:pt>
                <c:pt idx="38">
                  <c:v>-0.83651914295196983</c:v>
                </c:pt>
                <c:pt idx="39">
                  <c:v>-0.83333357424212329</c:v>
                </c:pt>
                <c:pt idx="40">
                  <c:v>-0.83070770558237328</c:v>
                </c:pt>
                <c:pt idx="41">
                  <c:v>-0.8257258010660824</c:v>
                </c:pt>
                <c:pt idx="42">
                  <c:v>-0.81842631673824351</c:v>
                </c:pt>
                <c:pt idx="43">
                  <c:v>-0.81545632508858246</c:v>
                </c:pt>
                <c:pt idx="44">
                  <c:v>-0.809001184242917</c:v>
                </c:pt>
                <c:pt idx="45">
                  <c:v>-0.80890156297895377</c:v>
                </c:pt>
                <c:pt idx="46">
                  <c:v>-0.8056954108011285</c:v>
                </c:pt>
                <c:pt idx="47">
                  <c:v>-0.80361428399212254</c:v>
                </c:pt>
                <c:pt idx="48">
                  <c:v>-0.79556869619577042</c:v>
                </c:pt>
                <c:pt idx="49">
                  <c:v>-0.79060344417399464</c:v>
                </c:pt>
                <c:pt idx="50">
                  <c:v>-0.78993048450688685</c:v>
                </c:pt>
                <c:pt idx="51">
                  <c:v>-0.77969609002334561</c:v>
                </c:pt>
                <c:pt idx="52">
                  <c:v>-0.77900559271646896</c:v>
                </c:pt>
                <c:pt idx="53">
                  <c:v>-0.77676494446151012</c:v>
                </c:pt>
                <c:pt idx="54">
                  <c:v>-0.7667496034189738</c:v>
                </c:pt>
                <c:pt idx="55">
                  <c:v>-0.76633661175365764</c:v>
                </c:pt>
                <c:pt idx="56">
                  <c:v>-0.76423486794703943</c:v>
                </c:pt>
                <c:pt idx="57">
                  <c:v>-0.76162026425399332</c:v>
                </c:pt>
                <c:pt idx="58">
                  <c:v>-0.75830661772029262</c:v>
                </c:pt>
                <c:pt idx="59">
                  <c:v>-0.74753194675745438</c:v>
                </c:pt>
                <c:pt idx="60">
                  <c:v>-0.74709892911016262</c:v>
                </c:pt>
                <c:pt idx="61">
                  <c:v>-0.7449003338632032</c:v>
                </c:pt>
                <c:pt idx="62">
                  <c:v>-0.74316735635338893</c:v>
                </c:pt>
                <c:pt idx="63">
                  <c:v>-0.73920795298110353</c:v>
                </c:pt>
                <c:pt idx="64">
                  <c:v>-0.73270392593249456</c:v>
                </c:pt>
                <c:pt idx="65">
                  <c:v>-0.72864335338045993</c:v>
                </c:pt>
                <c:pt idx="66">
                  <c:v>-0.72422675632100053</c:v>
                </c:pt>
                <c:pt idx="67">
                  <c:v>-0.71278994777788252</c:v>
                </c:pt>
                <c:pt idx="68">
                  <c:v>-0.69972137984377292</c:v>
                </c:pt>
                <c:pt idx="69">
                  <c:v>-0.69947650301920916</c:v>
                </c:pt>
                <c:pt idx="70">
                  <c:v>-0.69507814293028125</c:v>
                </c:pt>
                <c:pt idx="71">
                  <c:v>-0.69313882813812233</c:v>
                </c:pt>
                <c:pt idx="72">
                  <c:v>-0.69152140702818343</c:v>
                </c:pt>
                <c:pt idx="73">
                  <c:v>-0.68893897374440671</c:v>
                </c:pt>
                <c:pt idx="74">
                  <c:v>-0.68594426147367704</c:v>
                </c:pt>
                <c:pt idx="75">
                  <c:v>-0.67222811097054547</c:v>
                </c:pt>
                <c:pt idx="76">
                  <c:v>-0.66817902446308586</c:v>
                </c:pt>
                <c:pt idx="77">
                  <c:v>-0.6633987194153077</c:v>
                </c:pt>
                <c:pt idx="78">
                  <c:v>-0.6604467276975714</c:v>
                </c:pt>
                <c:pt idx="79">
                  <c:v>-0.66039396192118294</c:v>
                </c:pt>
                <c:pt idx="80">
                  <c:v>-0.65199124633002725</c:v>
                </c:pt>
                <c:pt idx="81">
                  <c:v>-0.65181879083137595</c:v>
                </c:pt>
                <c:pt idx="82">
                  <c:v>-0.64546261766747026</c:v>
                </c:pt>
                <c:pt idx="83">
                  <c:v>-0.64235327613014848</c:v>
                </c:pt>
                <c:pt idx="84">
                  <c:v>-0.64134417497518492</c:v>
                </c:pt>
                <c:pt idx="85">
                  <c:v>-0.6388303318316233</c:v>
                </c:pt>
                <c:pt idx="86">
                  <c:v>-0.63654981969842539</c:v>
                </c:pt>
                <c:pt idx="87">
                  <c:v>-0.63346969381815477</c:v>
                </c:pt>
                <c:pt idx="88">
                  <c:v>-0.63005061467934298</c:v>
                </c:pt>
                <c:pt idx="89">
                  <c:v>-0.62033775339702424</c:v>
                </c:pt>
                <c:pt idx="90">
                  <c:v>-0.61891436953217016</c:v>
                </c:pt>
                <c:pt idx="91">
                  <c:v>-0.61550411138239514</c:v>
                </c:pt>
                <c:pt idx="92">
                  <c:v>-0.60575124198580488</c:v>
                </c:pt>
                <c:pt idx="93">
                  <c:v>-0.6054117387519391</c:v>
                </c:pt>
                <c:pt idx="94">
                  <c:v>-0.6014815285853683</c:v>
                </c:pt>
                <c:pt idx="95">
                  <c:v>-0.59965345563573247</c:v>
                </c:pt>
                <c:pt idx="96">
                  <c:v>-0.5988586632604882</c:v>
                </c:pt>
                <c:pt idx="97">
                  <c:v>-0.58977843972543154</c:v>
                </c:pt>
                <c:pt idx="98">
                  <c:v>-0.58965668732368393</c:v>
                </c:pt>
                <c:pt idx="99">
                  <c:v>-0.58951821455215137</c:v>
                </c:pt>
                <c:pt idx="100">
                  <c:v>-0.58625983093548895</c:v>
                </c:pt>
                <c:pt idx="101">
                  <c:v>-0.58475033534161325</c:v>
                </c:pt>
                <c:pt idx="102">
                  <c:v>-0.57936463993869847</c:v>
                </c:pt>
                <c:pt idx="103">
                  <c:v>-0.57862977652698566</c:v>
                </c:pt>
                <c:pt idx="104">
                  <c:v>-0.57641059399417194</c:v>
                </c:pt>
                <c:pt idx="105">
                  <c:v>-0.57604312946951675</c:v>
                </c:pt>
                <c:pt idx="106">
                  <c:v>-0.5753642121396032</c:v>
                </c:pt>
                <c:pt idx="107">
                  <c:v>-0.57185740668225749</c:v>
                </c:pt>
                <c:pt idx="108">
                  <c:v>-0.56706274902198239</c:v>
                </c:pt>
                <c:pt idx="109">
                  <c:v>-0.56478942935889775</c:v>
                </c:pt>
                <c:pt idx="110">
                  <c:v>-0.56210437078924547</c:v>
                </c:pt>
                <c:pt idx="111">
                  <c:v>-0.56074770305488841</c:v>
                </c:pt>
                <c:pt idx="112">
                  <c:v>-0.55355894722698973</c:v>
                </c:pt>
                <c:pt idx="113">
                  <c:v>-0.54948906024387267</c:v>
                </c:pt>
                <c:pt idx="114">
                  <c:v>-0.54926894217270794</c:v>
                </c:pt>
                <c:pt idx="115">
                  <c:v>-0.54587439973557506</c:v>
                </c:pt>
                <c:pt idx="116">
                  <c:v>-0.54404033477587643</c:v>
                </c:pt>
                <c:pt idx="117">
                  <c:v>-0.54259893532357806</c:v>
                </c:pt>
                <c:pt idx="118">
                  <c:v>-0.53176917229243448</c:v>
                </c:pt>
                <c:pt idx="119">
                  <c:v>-0.52208082174365877</c:v>
                </c:pt>
                <c:pt idx="120">
                  <c:v>-0.51500984452762211</c:v>
                </c:pt>
                <c:pt idx="121">
                  <c:v>-0.51218009185809343</c:v>
                </c:pt>
                <c:pt idx="122">
                  <c:v>-0.50752385203867267</c:v>
                </c:pt>
                <c:pt idx="123">
                  <c:v>-0.50368466934876954</c:v>
                </c:pt>
                <c:pt idx="124">
                  <c:v>-0.49678176518310879</c:v>
                </c:pt>
                <c:pt idx="125">
                  <c:v>-0.49190110875431792</c:v>
                </c:pt>
                <c:pt idx="126">
                  <c:v>-0.46858217834215332</c:v>
                </c:pt>
                <c:pt idx="127">
                  <c:v>-0.46685691323570566</c:v>
                </c:pt>
                <c:pt idx="128">
                  <c:v>-0.46471496901481668</c:v>
                </c:pt>
                <c:pt idx="129">
                  <c:v>-0.46447916072906281</c:v>
                </c:pt>
                <c:pt idx="130">
                  <c:v>-0.46218015604968898</c:v>
                </c:pt>
                <c:pt idx="131">
                  <c:v>-0.46215887660111243</c:v>
                </c:pt>
                <c:pt idx="132">
                  <c:v>-0.45623446596919082</c:v>
                </c:pt>
                <c:pt idx="133">
                  <c:v>-0.45532480324720592</c:v>
                </c:pt>
                <c:pt idx="134">
                  <c:v>-0.45521905003713892</c:v>
                </c:pt>
                <c:pt idx="135">
                  <c:v>-0.45221506659650546</c:v>
                </c:pt>
                <c:pt idx="136">
                  <c:v>-0.44943952121628028</c:v>
                </c:pt>
                <c:pt idx="137">
                  <c:v>-0.44381287923213519</c:v>
                </c:pt>
                <c:pt idx="138">
                  <c:v>-0.44292966667758282</c:v>
                </c:pt>
                <c:pt idx="139">
                  <c:v>-0.44259147832082091</c:v>
                </c:pt>
                <c:pt idx="140">
                  <c:v>-0.44255705762845454</c:v>
                </c:pt>
                <c:pt idx="141">
                  <c:v>-0.43941688967585191</c:v>
                </c:pt>
                <c:pt idx="142">
                  <c:v>-0.43411685803292754</c:v>
                </c:pt>
                <c:pt idx="143">
                  <c:v>-0.43297452649361312</c:v>
                </c:pt>
                <c:pt idx="144">
                  <c:v>-0.43006163242962159</c:v>
                </c:pt>
                <c:pt idx="145">
                  <c:v>-0.42992447518096233</c:v>
                </c:pt>
                <c:pt idx="146">
                  <c:v>-0.4211358811806063</c:v>
                </c:pt>
                <c:pt idx="147">
                  <c:v>-0.41892876613938679</c:v>
                </c:pt>
                <c:pt idx="148">
                  <c:v>-0.41859261717684881</c:v>
                </c:pt>
                <c:pt idx="149">
                  <c:v>-0.40444642103016037</c:v>
                </c:pt>
                <c:pt idx="150">
                  <c:v>-0.40400110771977316</c:v>
                </c:pt>
                <c:pt idx="151">
                  <c:v>-0.40368202539140774</c:v>
                </c:pt>
                <c:pt idx="152">
                  <c:v>-0.39453891288814913</c:v>
                </c:pt>
                <c:pt idx="153">
                  <c:v>-0.38742509793999158</c:v>
                </c:pt>
                <c:pt idx="154">
                  <c:v>-0.38627837080065985</c:v>
                </c:pt>
                <c:pt idx="155">
                  <c:v>-0.38252796871813732</c:v>
                </c:pt>
                <c:pt idx="156">
                  <c:v>-0.36903278481418833</c:v>
                </c:pt>
                <c:pt idx="157">
                  <c:v>-0.36826040883640077</c:v>
                </c:pt>
                <c:pt idx="158">
                  <c:v>-0.36816096479850757</c:v>
                </c:pt>
                <c:pt idx="159">
                  <c:v>-0.36668735205868819</c:v>
                </c:pt>
                <c:pt idx="160">
                  <c:v>-0.35782287537172341</c:v>
                </c:pt>
                <c:pt idx="161">
                  <c:v>-0.35127723401304789</c:v>
                </c:pt>
                <c:pt idx="162">
                  <c:v>-0.3456606382220575</c:v>
                </c:pt>
                <c:pt idx="163">
                  <c:v>-0.34219918207939393</c:v>
                </c:pt>
                <c:pt idx="164">
                  <c:v>-0.34158370802583771</c:v>
                </c:pt>
                <c:pt idx="165">
                  <c:v>-0.3413814704212228</c:v>
                </c:pt>
                <c:pt idx="166">
                  <c:v>-0.33891579010483142</c:v>
                </c:pt>
                <c:pt idx="167">
                  <c:v>-0.33811482895306311</c:v>
                </c:pt>
                <c:pt idx="168">
                  <c:v>-0.33020067828733035</c:v>
                </c:pt>
                <c:pt idx="169">
                  <c:v>-0.33005323653837437</c:v>
                </c:pt>
                <c:pt idx="170">
                  <c:v>-0.32419388631484547</c:v>
                </c:pt>
                <c:pt idx="171">
                  <c:v>-0.3241461268685768</c:v>
                </c:pt>
                <c:pt idx="172">
                  <c:v>-0.32255983091968443</c:v>
                </c:pt>
                <c:pt idx="173">
                  <c:v>-0.3220156216995087</c:v>
                </c:pt>
                <c:pt idx="174">
                  <c:v>-0.31953890995282452</c:v>
                </c:pt>
                <c:pt idx="175">
                  <c:v>-0.30765345080419371</c:v>
                </c:pt>
                <c:pt idx="176">
                  <c:v>-0.30610390436110824</c:v>
                </c:pt>
                <c:pt idx="177">
                  <c:v>-0.30200358040911879</c:v>
                </c:pt>
                <c:pt idx="178">
                  <c:v>-0.29597575736612813</c:v>
                </c:pt>
                <c:pt idx="179">
                  <c:v>-0.29532017863541093</c:v>
                </c:pt>
                <c:pt idx="180">
                  <c:v>-0.29502732973033563</c:v>
                </c:pt>
                <c:pt idx="181">
                  <c:v>-0.29420239520188263</c:v>
                </c:pt>
                <c:pt idx="182">
                  <c:v>-0.2899873559530004</c:v>
                </c:pt>
                <c:pt idx="183">
                  <c:v>-0.28912120951840992</c:v>
                </c:pt>
                <c:pt idx="184">
                  <c:v>-0.2868636791718393</c:v>
                </c:pt>
                <c:pt idx="185">
                  <c:v>-0.2777188273303044</c:v>
                </c:pt>
                <c:pt idx="186">
                  <c:v>-0.26298414402517101</c:v>
                </c:pt>
                <c:pt idx="187">
                  <c:v>-0.25258275020520071</c:v>
                </c:pt>
                <c:pt idx="188">
                  <c:v>-0.25236151769494386</c:v>
                </c:pt>
                <c:pt idx="189">
                  <c:v>-0.24840836269185473</c:v>
                </c:pt>
                <c:pt idx="190">
                  <c:v>-0.24606972013899719</c:v>
                </c:pt>
                <c:pt idx="191">
                  <c:v>-0.23918559160278896</c:v>
                </c:pt>
                <c:pt idx="192">
                  <c:v>-0.23323573792104102</c:v>
                </c:pt>
                <c:pt idx="193">
                  <c:v>-0.22237039391923319</c:v>
                </c:pt>
                <c:pt idx="194">
                  <c:v>-0.20893733243369073</c:v>
                </c:pt>
                <c:pt idx="195">
                  <c:v>-0.20503882076964164</c:v>
                </c:pt>
                <c:pt idx="196">
                  <c:v>-0.2043550376134331</c:v>
                </c:pt>
                <c:pt idx="197">
                  <c:v>-0.19768147668265046</c:v>
                </c:pt>
                <c:pt idx="198">
                  <c:v>-0.19140455010747282</c:v>
                </c:pt>
                <c:pt idx="199">
                  <c:v>-0.16968099447226193</c:v>
                </c:pt>
                <c:pt idx="200">
                  <c:v>-0.16964537347731756</c:v>
                </c:pt>
                <c:pt idx="201">
                  <c:v>-0.16879703965534687</c:v>
                </c:pt>
                <c:pt idx="202">
                  <c:v>-0.16826784219246749</c:v>
                </c:pt>
                <c:pt idx="203">
                  <c:v>-0.16677154074264711</c:v>
                </c:pt>
                <c:pt idx="204">
                  <c:v>-0.15459081945994479</c:v>
                </c:pt>
                <c:pt idx="205">
                  <c:v>-0.15212411736816289</c:v>
                </c:pt>
                <c:pt idx="206">
                  <c:v>-0.14777324559892802</c:v>
                </c:pt>
                <c:pt idx="207">
                  <c:v>-0.14504451462985291</c:v>
                </c:pt>
                <c:pt idx="208">
                  <c:v>-0.14354649476982373</c:v>
                </c:pt>
                <c:pt idx="209">
                  <c:v>-0.14158624510697493</c:v>
                </c:pt>
                <c:pt idx="210">
                  <c:v>-0.13778998766004347</c:v>
                </c:pt>
                <c:pt idx="211">
                  <c:v>-0.13598788358178493</c:v>
                </c:pt>
                <c:pt idx="212">
                  <c:v>-0.12924983375345289</c:v>
                </c:pt>
                <c:pt idx="213">
                  <c:v>-0.12804653068213034</c:v>
                </c:pt>
                <c:pt idx="214">
                  <c:v>-0.12691245570248544</c:v>
                </c:pt>
                <c:pt idx="215">
                  <c:v>-0.11432387402841848</c:v>
                </c:pt>
                <c:pt idx="216">
                  <c:v>-0.10871292885710382</c:v>
                </c:pt>
                <c:pt idx="217">
                  <c:v>-0.10733784815505154</c:v>
                </c:pt>
                <c:pt idx="218">
                  <c:v>-0.10477972003930125</c:v>
                </c:pt>
                <c:pt idx="219">
                  <c:v>-0.10356566754414986</c:v>
                </c:pt>
                <c:pt idx="220">
                  <c:v>-0.10338175015586781</c:v>
                </c:pt>
                <c:pt idx="221">
                  <c:v>-0.10049017366295132</c:v>
                </c:pt>
                <c:pt idx="222">
                  <c:v>-0.10019933003928072</c:v>
                </c:pt>
                <c:pt idx="223">
                  <c:v>-9.9578929710305797E-2</c:v>
                </c:pt>
                <c:pt idx="224">
                  <c:v>-9.9365905805647525E-2</c:v>
                </c:pt>
                <c:pt idx="225">
                  <c:v>-9.9165445221565118E-2</c:v>
                </c:pt>
                <c:pt idx="226">
                  <c:v>-9.8666171970792638E-2</c:v>
                </c:pt>
                <c:pt idx="227">
                  <c:v>-9.5415827575423995E-2</c:v>
                </c:pt>
                <c:pt idx="228">
                  <c:v>-9.5270402698784062E-2</c:v>
                </c:pt>
                <c:pt idx="229">
                  <c:v>-9.3221904931196864E-2</c:v>
                </c:pt>
                <c:pt idx="230">
                  <c:v>-9.0322522491713908E-2</c:v>
                </c:pt>
                <c:pt idx="231">
                  <c:v>-9.029723272079071E-2</c:v>
                </c:pt>
                <c:pt idx="232">
                  <c:v>-8.9725010003494754E-2</c:v>
                </c:pt>
                <c:pt idx="233">
                  <c:v>-8.7888656371934104E-2</c:v>
                </c:pt>
                <c:pt idx="234">
                  <c:v>-8.2724858708177695E-2</c:v>
                </c:pt>
                <c:pt idx="235">
                  <c:v>-8.0546062438083821E-2</c:v>
                </c:pt>
                <c:pt idx="236">
                  <c:v>-7.9333318239207751E-2</c:v>
                </c:pt>
                <c:pt idx="237">
                  <c:v>-7.6678320437527203E-2</c:v>
                </c:pt>
                <c:pt idx="238">
                  <c:v>-7.6277595032764323E-2</c:v>
                </c:pt>
                <c:pt idx="239">
                  <c:v>-7.5677740833442586E-2</c:v>
                </c:pt>
                <c:pt idx="240">
                  <c:v>-6.5789720917920569E-2</c:v>
                </c:pt>
                <c:pt idx="241">
                  <c:v>-4.403041632927418E-2</c:v>
                </c:pt>
                <c:pt idx="242">
                  <c:v>-4.0769792723178933E-2</c:v>
                </c:pt>
                <c:pt idx="243">
                  <c:v>-3.5641576196199454E-2</c:v>
                </c:pt>
                <c:pt idx="244">
                  <c:v>-3.3580272771466024E-2</c:v>
                </c:pt>
                <c:pt idx="245">
                  <c:v>-3.184943656219863E-2</c:v>
                </c:pt>
                <c:pt idx="246">
                  <c:v>-2.9297319167828739E-2</c:v>
                </c:pt>
                <c:pt idx="247">
                  <c:v>-2.6980783362191119E-2</c:v>
                </c:pt>
                <c:pt idx="248">
                  <c:v>-2.5717025410268546E-2</c:v>
                </c:pt>
                <c:pt idx="249">
                  <c:v>-1.8236700379650417E-2</c:v>
                </c:pt>
                <c:pt idx="250">
                  <c:v>-1.1991828147545514E-2</c:v>
                </c:pt>
                <c:pt idx="251">
                  <c:v>-1.0308601796264805E-2</c:v>
                </c:pt>
                <c:pt idx="252">
                  <c:v>-8.8076608031051329E-3</c:v>
                </c:pt>
                <c:pt idx="253">
                  <c:v>-8.0563084711735566E-3</c:v>
                </c:pt>
                <c:pt idx="254">
                  <c:v>-7.1135327721605357E-3</c:v>
                </c:pt>
                <c:pt idx="255">
                  <c:v>-6.16873810924079E-3</c:v>
                </c:pt>
                <c:pt idx="256">
                  <c:v>-1.9592168294897405E-3</c:v>
                </c:pt>
                <c:pt idx="257">
                  <c:v>-1.9318997975790175E-3</c:v>
                </c:pt>
                <c:pt idx="258">
                  <c:v>-1.5889088159604103E-3</c:v>
                </c:pt>
                <c:pt idx="259">
                  <c:v>5.096568500339238E-3</c:v>
                </c:pt>
                <c:pt idx="260">
                  <c:v>1.6351115619617218E-2</c:v>
                </c:pt>
                <c:pt idx="261">
                  <c:v>2.4033175380148153E-2</c:v>
                </c:pt>
                <c:pt idx="262">
                  <c:v>3.0651867087243101E-2</c:v>
                </c:pt>
                <c:pt idx="263">
                  <c:v>3.5715915435003742E-2</c:v>
                </c:pt>
                <c:pt idx="264">
                  <c:v>3.961883086589868E-2</c:v>
                </c:pt>
                <c:pt idx="265">
                  <c:v>4.2494213167260098E-2</c:v>
                </c:pt>
                <c:pt idx="266">
                  <c:v>4.581782150550584E-2</c:v>
                </c:pt>
                <c:pt idx="267">
                  <c:v>4.8243745886441758E-2</c:v>
                </c:pt>
                <c:pt idx="268">
                  <c:v>5.2306602677872904E-2</c:v>
                </c:pt>
                <c:pt idx="269">
                  <c:v>5.6503279025554187E-2</c:v>
                </c:pt>
                <c:pt idx="270">
                  <c:v>5.6726395493103432E-2</c:v>
                </c:pt>
                <c:pt idx="271">
                  <c:v>6.0000908353359472E-2</c:v>
                </c:pt>
                <c:pt idx="272">
                  <c:v>6.8213303070381981E-2</c:v>
                </c:pt>
                <c:pt idx="273">
                  <c:v>7.999677505432401E-2</c:v>
                </c:pt>
                <c:pt idx="274">
                  <c:v>8.4101843442850432E-2</c:v>
                </c:pt>
                <c:pt idx="275">
                  <c:v>8.9273692900438295E-2</c:v>
                </c:pt>
                <c:pt idx="276">
                  <c:v>9.2058430636928534E-2</c:v>
                </c:pt>
                <c:pt idx="277">
                  <c:v>9.605396032013358E-2</c:v>
                </c:pt>
                <c:pt idx="278">
                  <c:v>9.874813130667448E-2</c:v>
                </c:pt>
                <c:pt idx="279">
                  <c:v>0.10446459012351861</c:v>
                </c:pt>
                <c:pt idx="280">
                  <c:v>0.105281485798151</c:v>
                </c:pt>
                <c:pt idx="281">
                  <c:v>0.10646910780898233</c:v>
                </c:pt>
                <c:pt idx="282">
                  <c:v>0.10896012383022091</c:v>
                </c:pt>
                <c:pt idx="283">
                  <c:v>0.1091379661461267</c:v>
                </c:pt>
                <c:pt idx="284">
                  <c:v>0.10956323516055022</c:v>
                </c:pt>
                <c:pt idx="285">
                  <c:v>0.12262598533872171</c:v>
                </c:pt>
                <c:pt idx="286">
                  <c:v>0.12357934106355262</c:v>
                </c:pt>
                <c:pt idx="287">
                  <c:v>0.12960259612166647</c:v>
                </c:pt>
                <c:pt idx="288">
                  <c:v>0.13056101291316113</c:v>
                </c:pt>
                <c:pt idx="289">
                  <c:v>0.13478465154893637</c:v>
                </c:pt>
                <c:pt idx="290">
                  <c:v>0.14425460448245597</c:v>
                </c:pt>
                <c:pt idx="291">
                  <c:v>0.14428148514719341</c:v>
                </c:pt>
                <c:pt idx="292">
                  <c:v>0.14507963805066049</c:v>
                </c:pt>
                <c:pt idx="293">
                  <c:v>0.15546061536158717</c:v>
                </c:pt>
                <c:pt idx="294">
                  <c:v>0.15845346192160092</c:v>
                </c:pt>
                <c:pt idx="295">
                  <c:v>0.16594726351440414</c:v>
                </c:pt>
                <c:pt idx="296">
                  <c:v>0.16626983902972725</c:v>
                </c:pt>
                <c:pt idx="297">
                  <c:v>0.16842223794069366</c:v>
                </c:pt>
                <c:pt idx="298">
                  <c:v>0.17126579517697693</c:v>
                </c:pt>
                <c:pt idx="299">
                  <c:v>0.17663545437829886</c:v>
                </c:pt>
                <c:pt idx="300">
                  <c:v>0.17773656250660808</c:v>
                </c:pt>
                <c:pt idx="301">
                  <c:v>0.17820434005089636</c:v>
                </c:pt>
                <c:pt idx="302">
                  <c:v>0.19007871963265921</c:v>
                </c:pt>
                <c:pt idx="303">
                  <c:v>0.19335472428726308</c:v>
                </c:pt>
                <c:pt idx="304">
                  <c:v>0.19821300903640382</c:v>
                </c:pt>
                <c:pt idx="305">
                  <c:v>0.20017376211868454</c:v>
                </c:pt>
                <c:pt idx="306">
                  <c:v>0.20149770839516101</c:v>
                </c:pt>
                <c:pt idx="307">
                  <c:v>0.20296834178736245</c:v>
                </c:pt>
                <c:pt idx="308">
                  <c:v>0.20410275872597849</c:v>
                </c:pt>
                <c:pt idx="309">
                  <c:v>0.21416359564429444</c:v>
                </c:pt>
                <c:pt idx="310">
                  <c:v>0.2177899466197093</c:v>
                </c:pt>
                <c:pt idx="311">
                  <c:v>0.21960003919754989</c:v>
                </c:pt>
                <c:pt idx="312">
                  <c:v>0.22493224017262547</c:v>
                </c:pt>
                <c:pt idx="313">
                  <c:v>0.23131200710273436</c:v>
                </c:pt>
                <c:pt idx="314">
                  <c:v>0.24681646933010826</c:v>
                </c:pt>
                <c:pt idx="315">
                  <c:v>0.25584397346456278</c:v>
                </c:pt>
                <c:pt idx="316">
                  <c:v>0.2604487835601017</c:v>
                </c:pt>
                <c:pt idx="317">
                  <c:v>0.26238300222997357</c:v>
                </c:pt>
                <c:pt idx="318">
                  <c:v>0.26459036080682474</c:v>
                </c:pt>
                <c:pt idx="319">
                  <c:v>0.26942033541585708</c:v>
                </c:pt>
                <c:pt idx="320">
                  <c:v>0.27531624934626397</c:v>
                </c:pt>
                <c:pt idx="321">
                  <c:v>0.27740407554636248</c:v>
                </c:pt>
                <c:pt idx="322">
                  <c:v>0.27890426620415298</c:v>
                </c:pt>
                <c:pt idx="323">
                  <c:v>0.27938001398692447</c:v>
                </c:pt>
                <c:pt idx="324">
                  <c:v>0.2841785590726067</c:v>
                </c:pt>
                <c:pt idx="325">
                  <c:v>0.28508511801291747</c:v>
                </c:pt>
                <c:pt idx="326">
                  <c:v>0.2856983927020722</c:v>
                </c:pt>
                <c:pt idx="327">
                  <c:v>0.28941484952860574</c:v>
                </c:pt>
                <c:pt idx="328">
                  <c:v>0.29676009085199784</c:v>
                </c:pt>
                <c:pt idx="329">
                  <c:v>0.30392968561399147</c:v>
                </c:pt>
                <c:pt idx="330">
                  <c:v>0.30472526103078335</c:v>
                </c:pt>
                <c:pt idx="331">
                  <c:v>0.30482938716376795</c:v>
                </c:pt>
                <c:pt idx="332">
                  <c:v>0.3054499353391158</c:v>
                </c:pt>
                <c:pt idx="333">
                  <c:v>0.31105906082138612</c:v>
                </c:pt>
                <c:pt idx="334">
                  <c:v>0.3126429389452392</c:v>
                </c:pt>
                <c:pt idx="335">
                  <c:v>0.31362756381816648</c:v>
                </c:pt>
                <c:pt idx="336">
                  <c:v>0.31933151892462819</c:v>
                </c:pt>
                <c:pt idx="337">
                  <c:v>0.32562059763942086</c:v>
                </c:pt>
                <c:pt idx="338">
                  <c:v>0.32991674218500644</c:v>
                </c:pt>
                <c:pt idx="339">
                  <c:v>0.33860151839900077</c:v>
                </c:pt>
                <c:pt idx="340">
                  <c:v>0.3449119226318158</c:v>
                </c:pt>
                <c:pt idx="341">
                  <c:v>0.35225865052387406</c:v>
                </c:pt>
                <c:pt idx="342">
                  <c:v>0.35366811638638618</c:v>
                </c:pt>
                <c:pt idx="343">
                  <c:v>0.35631870937487142</c:v>
                </c:pt>
                <c:pt idx="344">
                  <c:v>0.36102021486553237</c:v>
                </c:pt>
                <c:pt idx="345">
                  <c:v>0.36789250668272988</c:v>
                </c:pt>
                <c:pt idx="346">
                  <c:v>0.37690016775992019</c:v>
                </c:pt>
                <c:pt idx="347">
                  <c:v>0.38095057346528582</c:v>
                </c:pt>
                <c:pt idx="348">
                  <c:v>0.38518371909666715</c:v>
                </c:pt>
                <c:pt idx="349">
                  <c:v>0.38855390128338119</c:v>
                </c:pt>
                <c:pt idx="350">
                  <c:v>0.3943767869942123</c:v>
                </c:pt>
                <c:pt idx="351">
                  <c:v>0.3984989390542264</c:v>
                </c:pt>
                <c:pt idx="352">
                  <c:v>0.39963436571418476</c:v>
                </c:pt>
                <c:pt idx="353">
                  <c:v>0.39985308854880852</c:v>
                </c:pt>
                <c:pt idx="354">
                  <c:v>0.4001457591109896</c:v>
                </c:pt>
                <c:pt idx="355">
                  <c:v>0.40053378616590796</c:v>
                </c:pt>
                <c:pt idx="356">
                  <c:v>0.40087815855451359</c:v>
                </c:pt>
                <c:pt idx="357">
                  <c:v>0.40497364439729466</c:v>
                </c:pt>
                <c:pt idx="358">
                  <c:v>0.40538415559204277</c:v>
                </c:pt>
                <c:pt idx="359">
                  <c:v>0.41106284376938151</c:v>
                </c:pt>
                <c:pt idx="360">
                  <c:v>0.41143817407963756</c:v>
                </c:pt>
                <c:pt idx="361">
                  <c:v>0.41344747562895834</c:v>
                </c:pt>
                <c:pt idx="362">
                  <c:v>0.41559735081650273</c:v>
                </c:pt>
                <c:pt idx="363">
                  <c:v>0.41594290473140383</c:v>
                </c:pt>
                <c:pt idx="364">
                  <c:v>0.4171780915975698</c:v>
                </c:pt>
                <c:pt idx="365">
                  <c:v>0.41899226852993454</c:v>
                </c:pt>
                <c:pt idx="366">
                  <c:v>0.42006774509120959</c:v>
                </c:pt>
                <c:pt idx="367">
                  <c:v>0.42324953337988425</c:v>
                </c:pt>
                <c:pt idx="368">
                  <c:v>0.42379839802121388</c:v>
                </c:pt>
                <c:pt idx="369">
                  <c:v>0.42413373952771338</c:v>
                </c:pt>
                <c:pt idx="370">
                  <c:v>0.42864354576378849</c:v>
                </c:pt>
                <c:pt idx="371">
                  <c:v>0.43191066679124934</c:v>
                </c:pt>
                <c:pt idx="372">
                  <c:v>0.43624705301026645</c:v>
                </c:pt>
                <c:pt idx="373">
                  <c:v>0.43652114145597531</c:v>
                </c:pt>
                <c:pt idx="374">
                  <c:v>0.44548957469626838</c:v>
                </c:pt>
                <c:pt idx="375">
                  <c:v>0.44639217177081747</c:v>
                </c:pt>
                <c:pt idx="376">
                  <c:v>0.45561269587468711</c:v>
                </c:pt>
                <c:pt idx="377">
                  <c:v>0.45567446963747282</c:v>
                </c:pt>
                <c:pt idx="378">
                  <c:v>0.46507024000040031</c:v>
                </c:pt>
                <c:pt idx="379">
                  <c:v>0.46822930485197833</c:v>
                </c:pt>
                <c:pt idx="380">
                  <c:v>0.47311977283555651</c:v>
                </c:pt>
                <c:pt idx="381">
                  <c:v>0.47404182169053422</c:v>
                </c:pt>
                <c:pt idx="382">
                  <c:v>0.48053601252526157</c:v>
                </c:pt>
                <c:pt idx="383">
                  <c:v>0.48247508429068553</c:v>
                </c:pt>
                <c:pt idx="384">
                  <c:v>0.4875916666747655</c:v>
                </c:pt>
                <c:pt idx="385">
                  <c:v>0.48866140858753004</c:v>
                </c:pt>
                <c:pt idx="386">
                  <c:v>0.49447450722193631</c:v>
                </c:pt>
                <c:pt idx="387">
                  <c:v>0.49819408964484246</c:v>
                </c:pt>
                <c:pt idx="388">
                  <c:v>0.50096197711386048</c:v>
                </c:pt>
                <c:pt idx="389">
                  <c:v>0.50185715751374427</c:v>
                </c:pt>
                <c:pt idx="390">
                  <c:v>0.51032928821294377</c:v>
                </c:pt>
                <c:pt idx="391">
                  <c:v>0.51922080571354634</c:v>
                </c:pt>
                <c:pt idx="392">
                  <c:v>0.52225653490066892</c:v>
                </c:pt>
                <c:pt idx="393">
                  <c:v>0.5224245126118312</c:v>
                </c:pt>
                <c:pt idx="394">
                  <c:v>0.52546123823654844</c:v>
                </c:pt>
                <c:pt idx="395">
                  <c:v>0.53383105284190879</c:v>
                </c:pt>
                <c:pt idx="396">
                  <c:v>0.53713451251334843</c:v>
                </c:pt>
                <c:pt idx="397">
                  <c:v>0.53845921683900411</c:v>
                </c:pt>
                <c:pt idx="398">
                  <c:v>0.54751622016883483</c:v>
                </c:pt>
                <c:pt idx="399">
                  <c:v>0.55112210099525516</c:v>
                </c:pt>
                <c:pt idx="400">
                  <c:v>0.56428207499401473</c:v>
                </c:pt>
                <c:pt idx="401">
                  <c:v>0.56560109106349654</c:v>
                </c:pt>
                <c:pt idx="402">
                  <c:v>0.56847270854909882</c:v>
                </c:pt>
                <c:pt idx="403">
                  <c:v>0.56902952746162794</c:v>
                </c:pt>
                <c:pt idx="404">
                  <c:v>0.57284823209129376</c:v>
                </c:pt>
                <c:pt idx="405">
                  <c:v>0.57301397370959517</c:v>
                </c:pt>
                <c:pt idx="406">
                  <c:v>0.57536616401202401</c:v>
                </c:pt>
                <c:pt idx="407">
                  <c:v>0.57901701410609974</c:v>
                </c:pt>
                <c:pt idx="408">
                  <c:v>0.58121162097704038</c:v>
                </c:pt>
                <c:pt idx="409">
                  <c:v>0.58146680738898837</c:v>
                </c:pt>
                <c:pt idx="410">
                  <c:v>0.59181502940724573</c:v>
                </c:pt>
                <c:pt idx="411">
                  <c:v>0.59212360201031533</c:v>
                </c:pt>
                <c:pt idx="412">
                  <c:v>0.59852272941124074</c:v>
                </c:pt>
                <c:pt idx="413">
                  <c:v>0.6225213230705704</c:v>
                </c:pt>
                <c:pt idx="414">
                  <c:v>0.62325590660328722</c:v>
                </c:pt>
                <c:pt idx="415">
                  <c:v>0.62547439468750121</c:v>
                </c:pt>
                <c:pt idx="416">
                  <c:v>0.64031319742721582</c:v>
                </c:pt>
                <c:pt idx="417">
                  <c:v>0.64708376421736347</c:v>
                </c:pt>
                <c:pt idx="418">
                  <c:v>0.65523358098070816</c:v>
                </c:pt>
                <c:pt idx="419">
                  <c:v>0.65580637647983053</c:v>
                </c:pt>
                <c:pt idx="420">
                  <c:v>0.66290413953856442</c:v>
                </c:pt>
                <c:pt idx="421">
                  <c:v>0.66593246857349286</c:v>
                </c:pt>
                <c:pt idx="422">
                  <c:v>0.6843632574204197</c:v>
                </c:pt>
                <c:pt idx="423">
                  <c:v>0.68880155061736859</c:v>
                </c:pt>
                <c:pt idx="424">
                  <c:v>0.68969504749298927</c:v>
                </c:pt>
                <c:pt idx="425">
                  <c:v>0.69101889557314289</c:v>
                </c:pt>
                <c:pt idx="426">
                  <c:v>0.70431965978802835</c:v>
                </c:pt>
                <c:pt idx="427">
                  <c:v>0.70506759712568812</c:v>
                </c:pt>
                <c:pt idx="428">
                  <c:v>0.70912208999597826</c:v>
                </c:pt>
                <c:pt idx="429">
                  <c:v>0.71118400118181913</c:v>
                </c:pt>
                <c:pt idx="430">
                  <c:v>0.71331548482144402</c:v>
                </c:pt>
                <c:pt idx="431">
                  <c:v>0.7139885112845219</c:v>
                </c:pt>
                <c:pt idx="432">
                  <c:v>0.71644222517241207</c:v>
                </c:pt>
                <c:pt idx="433">
                  <c:v>0.72020423114995147</c:v>
                </c:pt>
                <c:pt idx="434">
                  <c:v>0.72836553572387275</c:v>
                </c:pt>
                <c:pt idx="435">
                  <c:v>0.73232591183881102</c:v>
                </c:pt>
                <c:pt idx="436">
                  <c:v>0.73338959720448149</c:v>
                </c:pt>
                <c:pt idx="437">
                  <c:v>0.73763449882191456</c:v>
                </c:pt>
                <c:pt idx="438">
                  <c:v>0.7521887108340668</c:v>
                </c:pt>
                <c:pt idx="439">
                  <c:v>0.75485499665156652</c:v>
                </c:pt>
                <c:pt idx="440">
                  <c:v>0.75845707121856143</c:v>
                </c:pt>
                <c:pt idx="441">
                  <c:v>0.75857508797715134</c:v>
                </c:pt>
                <c:pt idx="442">
                  <c:v>0.76311403797547639</c:v>
                </c:pt>
                <c:pt idx="443">
                  <c:v>0.76529889911050075</c:v>
                </c:pt>
                <c:pt idx="444">
                  <c:v>0.76726477289307904</c:v>
                </c:pt>
                <c:pt idx="445">
                  <c:v>0.77237145626792891</c:v>
                </c:pt>
                <c:pt idx="446">
                  <c:v>0.77566549428490905</c:v>
                </c:pt>
                <c:pt idx="447">
                  <c:v>0.78654306515559003</c:v>
                </c:pt>
                <c:pt idx="448">
                  <c:v>0.78820851157762628</c:v>
                </c:pt>
                <c:pt idx="449">
                  <c:v>0.80156635078397631</c:v>
                </c:pt>
                <c:pt idx="450">
                  <c:v>0.80177091359399988</c:v>
                </c:pt>
                <c:pt idx="451">
                  <c:v>0.80640333201748016</c:v>
                </c:pt>
                <c:pt idx="452">
                  <c:v>0.80679396746290544</c:v>
                </c:pt>
                <c:pt idx="453">
                  <c:v>0.8078504491769174</c:v>
                </c:pt>
                <c:pt idx="454">
                  <c:v>0.81234726897357001</c:v>
                </c:pt>
                <c:pt idx="455">
                  <c:v>0.81240989501376726</c:v>
                </c:pt>
                <c:pt idx="456">
                  <c:v>0.81975611466360121</c:v>
                </c:pt>
                <c:pt idx="457">
                  <c:v>0.82156532585932629</c:v>
                </c:pt>
                <c:pt idx="458">
                  <c:v>0.82422935280790721</c:v>
                </c:pt>
                <c:pt idx="459">
                  <c:v>0.82461931942006772</c:v>
                </c:pt>
                <c:pt idx="460">
                  <c:v>0.82524761317827688</c:v>
                </c:pt>
                <c:pt idx="461">
                  <c:v>0.84996856278064437</c:v>
                </c:pt>
                <c:pt idx="462">
                  <c:v>0.85876583922885175</c:v>
                </c:pt>
                <c:pt idx="463">
                  <c:v>0.86192118286878006</c:v>
                </c:pt>
                <c:pt idx="464">
                  <c:v>0.86526701689152197</c:v>
                </c:pt>
                <c:pt idx="465">
                  <c:v>0.86646057759272588</c:v>
                </c:pt>
                <c:pt idx="466">
                  <c:v>0.86736821677069043</c:v>
                </c:pt>
                <c:pt idx="467">
                  <c:v>0.87071353596203505</c:v>
                </c:pt>
                <c:pt idx="468">
                  <c:v>0.87191227231929713</c:v>
                </c:pt>
                <c:pt idx="469">
                  <c:v>0.87762800893390525</c:v>
                </c:pt>
                <c:pt idx="470">
                  <c:v>0.87767993536837086</c:v>
                </c:pt>
                <c:pt idx="471">
                  <c:v>0.87994902286469068</c:v>
                </c:pt>
                <c:pt idx="472">
                  <c:v>0.88136814014125475</c:v>
                </c:pt>
                <c:pt idx="473">
                  <c:v>0.88138017463922158</c:v>
                </c:pt>
                <c:pt idx="474">
                  <c:v>0.88317556368991323</c:v>
                </c:pt>
                <c:pt idx="475">
                  <c:v>0.8875152526955814</c:v>
                </c:pt>
                <c:pt idx="476">
                  <c:v>0.88954740907501195</c:v>
                </c:pt>
                <c:pt idx="477">
                  <c:v>0.89349265784436693</c:v>
                </c:pt>
                <c:pt idx="478">
                  <c:v>0.89463023852366397</c:v>
                </c:pt>
                <c:pt idx="479">
                  <c:v>0.89847269348797187</c:v>
                </c:pt>
                <c:pt idx="480">
                  <c:v>0.90152957998348349</c:v>
                </c:pt>
                <c:pt idx="481">
                  <c:v>0.90399671530922943</c:v>
                </c:pt>
                <c:pt idx="482">
                  <c:v>0.90669787895406473</c:v>
                </c:pt>
                <c:pt idx="483">
                  <c:v>0.9072644580258975</c:v>
                </c:pt>
                <c:pt idx="484">
                  <c:v>0.90805376086807343</c:v>
                </c:pt>
                <c:pt idx="485">
                  <c:v>0.90896408191004041</c:v>
                </c:pt>
                <c:pt idx="486">
                  <c:v>0.90977800713774815</c:v>
                </c:pt>
                <c:pt idx="487">
                  <c:v>0.91020463883465252</c:v>
                </c:pt>
                <c:pt idx="488">
                  <c:v>0.91193214326818084</c:v>
                </c:pt>
                <c:pt idx="489">
                  <c:v>0.92364025585072307</c:v>
                </c:pt>
                <c:pt idx="490">
                  <c:v>0.92967719639312296</c:v>
                </c:pt>
                <c:pt idx="491">
                  <c:v>0.93179024597484306</c:v>
                </c:pt>
                <c:pt idx="492">
                  <c:v>0.93435889334923594</c:v>
                </c:pt>
                <c:pt idx="493">
                  <c:v>0.94287322031354903</c:v>
                </c:pt>
                <c:pt idx="494">
                  <c:v>0.94929933181312598</c:v>
                </c:pt>
                <c:pt idx="495">
                  <c:v>0.96591990619860479</c:v>
                </c:pt>
                <c:pt idx="496">
                  <c:v>0.97510374736191108</c:v>
                </c:pt>
                <c:pt idx="497">
                  <c:v>0.9830265698316103</c:v>
                </c:pt>
                <c:pt idx="498">
                  <c:v>0.98914940312263888</c:v>
                </c:pt>
                <c:pt idx="499">
                  <c:v>0.99358354390211145</c:v>
                </c:pt>
                <c:pt idx="500">
                  <c:v>0.99385439534751252</c:v>
                </c:pt>
              </c:numCache>
            </c:numRef>
          </c:xVal>
          <c:yVal>
            <c:numRef>
              <c:f>'test function'!$R$7:$R$507</c:f>
              <c:numCache>
                <c:formatCode>0.000</c:formatCode>
                <c:ptCount val="501"/>
                <c:pt idx="0">
                  <c:v>-0.51789386472094867</c:v>
                </c:pt>
                <c:pt idx="1">
                  <c:v>-0.5177399995791282</c:v>
                </c:pt>
                <c:pt idx="2">
                  <c:v>-0.49005231831304596</c:v>
                </c:pt>
                <c:pt idx="3">
                  <c:v>-0.45597696477136307</c:v>
                </c:pt>
                <c:pt idx="4">
                  <c:v>-0.42139990395911875</c:v>
                </c:pt>
                <c:pt idx="5">
                  <c:v>-0.38170985912328859</c:v>
                </c:pt>
                <c:pt idx="6">
                  <c:v>-0.36065015135645029</c:v>
                </c:pt>
                <c:pt idx="7">
                  <c:v>-0.31469691581881176</c:v>
                </c:pt>
                <c:pt idx="8">
                  <c:v>-0.27261880276598327</c:v>
                </c:pt>
                <c:pt idx="9">
                  <c:v>-0.19747305063095333</c:v>
                </c:pt>
                <c:pt idx="10">
                  <c:v>-7.9011453667639897E-2</c:v>
                </c:pt>
                <c:pt idx="11">
                  <c:v>1.6397721379696029E-2</c:v>
                </c:pt>
                <c:pt idx="12">
                  <c:v>3.89401504794743E-2</c:v>
                </c:pt>
                <c:pt idx="13">
                  <c:v>7.5609258093425391E-2</c:v>
                </c:pt>
                <c:pt idx="14">
                  <c:v>0.10257985867696498</c:v>
                </c:pt>
                <c:pt idx="15">
                  <c:v>0.14999195707538793</c:v>
                </c:pt>
                <c:pt idx="16">
                  <c:v>0.15215099608153726</c:v>
                </c:pt>
                <c:pt idx="17">
                  <c:v>0.15960228407230742</c:v>
                </c:pt>
                <c:pt idx="18">
                  <c:v>0.17406045737052411</c:v>
                </c:pt>
                <c:pt idx="19">
                  <c:v>0.18984478918368936</c:v>
                </c:pt>
                <c:pt idx="20">
                  <c:v>0.29599586766944846</c:v>
                </c:pt>
                <c:pt idx="21">
                  <c:v>0.30469908578553168</c:v>
                </c:pt>
                <c:pt idx="22">
                  <c:v>0.33880968722806554</c:v>
                </c:pt>
                <c:pt idx="23">
                  <c:v>0.3960403419021753</c:v>
                </c:pt>
                <c:pt idx="24">
                  <c:v>0.43018268656335867</c:v>
                </c:pt>
                <c:pt idx="25">
                  <c:v>0.60816687564785843</c:v>
                </c:pt>
                <c:pt idx="26">
                  <c:v>0.65023089115358057</c:v>
                </c:pt>
                <c:pt idx="27">
                  <c:v>0.665081194064439</c:v>
                </c:pt>
                <c:pt idx="28">
                  <c:v>0.71725527310888804</c:v>
                </c:pt>
                <c:pt idx="29">
                  <c:v>0.77770469702701539</c:v>
                </c:pt>
                <c:pt idx="30">
                  <c:v>0.84633268544065932</c:v>
                </c:pt>
                <c:pt idx="31">
                  <c:v>0.85903014413284817</c:v>
                </c:pt>
                <c:pt idx="32">
                  <c:v>0.90025620921836602</c:v>
                </c:pt>
                <c:pt idx="33">
                  <c:v>0.90195390064403191</c:v>
                </c:pt>
                <c:pt idx="34">
                  <c:v>0.90671267319436522</c:v>
                </c:pt>
                <c:pt idx="35">
                  <c:v>1.0240104585627687</c:v>
                </c:pt>
                <c:pt idx="36">
                  <c:v>1.0837122451158914</c:v>
                </c:pt>
                <c:pt idx="37">
                  <c:v>1.0878377365141008</c:v>
                </c:pt>
                <c:pt idx="38">
                  <c:v>1.0981388917618791</c:v>
                </c:pt>
                <c:pt idx="39">
                  <c:v>1.1220344655855961</c:v>
                </c:pt>
                <c:pt idx="40">
                  <c:v>1.1413172804121696</c:v>
                </c:pt>
                <c:pt idx="41">
                  <c:v>1.1768456313976381</c:v>
                </c:pt>
                <c:pt idx="42">
                  <c:v>1.2263187887293059</c:v>
                </c:pt>
                <c:pt idx="43">
                  <c:v>1.2455402612412132</c:v>
                </c:pt>
                <c:pt idx="44">
                  <c:v>1.2854439404132447</c:v>
                </c:pt>
                <c:pt idx="45">
                  <c:v>1.2860392930807292</c:v>
                </c:pt>
                <c:pt idx="46">
                  <c:v>1.304861442841849</c:v>
                </c:pt>
                <c:pt idx="47">
                  <c:v>1.3167243764779866</c:v>
                </c:pt>
                <c:pt idx="48">
                  <c:v>1.3599009510017808</c:v>
                </c:pt>
                <c:pt idx="49">
                  <c:v>1.3843667814543719</c:v>
                </c:pt>
                <c:pt idx="50">
                  <c:v>1.387552089295305</c:v>
                </c:pt>
                <c:pt idx="51">
                  <c:v>1.4320694334217932</c:v>
                </c:pt>
                <c:pt idx="52">
                  <c:v>1.4348039522246139</c:v>
                </c:pt>
                <c:pt idx="53">
                  <c:v>1.4434397319019256</c:v>
                </c:pt>
                <c:pt idx="54">
                  <c:v>1.4775419423669631</c:v>
                </c:pt>
                <c:pt idx="55">
                  <c:v>1.4787885744837699</c:v>
                </c:pt>
                <c:pt idx="56">
                  <c:v>1.4849349847273685</c:v>
                </c:pt>
                <c:pt idx="57">
                  <c:v>1.4921181469667071</c:v>
                </c:pt>
                <c:pt idx="58">
                  <c:v>1.5004804559352625</c:v>
                </c:pt>
                <c:pt idx="59">
                  <c:v>1.5218963218540711</c:v>
                </c:pt>
                <c:pt idx="60">
                  <c:v>1.5225713975477253</c:v>
                </c:pt>
                <c:pt idx="61">
                  <c:v>1.5257770582685466</c:v>
                </c:pt>
                <c:pt idx="62">
                  <c:v>1.5280423206318763</c:v>
                </c:pt>
                <c:pt idx="63">
                  <c:v>1.5323524446884658</c:v>
                </c:pt>
                <c:pt idx="64">
                  <c:v>1.536821469866255</c:v>
                </c:pt>
                <c:pt idx="65">
                  <c:v>1.5379702564988125</c:v>
                </c:pt>
                <c:pt idx="66">
                  <c:v>1.5377948253041405</c:v>
                </c:pt>
                <c:pt idx="67">
                  <c:v>1.5305192452517293</c:v>
                </c:pt>
                <c:pt idx="68">
                  <c:v>1.5104603800231207</c:v>
                </c:pt>
                <c:pt idx="69">
                  <c:v>1.5099683614031802</c:v>
                </c:pt>
                <c:pt idx="70">
                  <c:v>1.5004219720003524</c:v>
                </c:pt>
                <c:pt idx="71">
                  <c:v>1.4957907918697941</c:v>
                </c:pt>
                <c:pt idx="72">
                  <c:v>1.4917335461850547</c:v>
                </c:pt>
                <c:pt idx="73">
                  <c:v>1.4848926319916786</c:v>
                </c:pt>
                <c:pt idx="74">
                  <c:v>1.4764085857122633</c:v>
                </c:pt>
                <c:pt idx="75">
                  <c:v>1.4303078812919803</c:v>
                </c:pt>
                <c:pt idx="76">
                  <c:v>1.4145427110296456</c:v>
                </c:pt>
                <c:pt idx="77">
                  <c:v>1.3947461011705302</c:v>
                </c:pt>
                <c:pt idx="78">
                  <c:v>1.3819048473188655</c:v>
                </c:pt>
                <c:pt idx="79">
                  <c:v>1.3816711489952886</c:v>
                </c:pt>
                <c:pt idx="80">
                  <c:v>1.3426667597044748</c:v>
                </c:pt>
                <c:pt idx="81">
                  <c:v>1.3418302547303296</c:v>
                </c:pt>
                <c:pt idx="82">
                  <c:v>1.3100515089981726</c:v>
                </c:pt>
                <c:pt idx="83">
                  <c:v>1.2938627317999567</c:v>
                </c:pt>
                <c:pt idx="84">
                  <c:v>1.2885225570193364</c:v>
                </c:pt>
                <c:pt idx="85">
                  <c:v>1.2750415568687707</c:v>
                </c:pt>
                <c:pt idx="86">
                  <c:v>1.2625991571306687</c:v>
                </c:pt>
                <c:pt idx="87">
                  <c:v>1.245486747871112</c:v>
                </c:pt>
                <c:pt idx="88">
                  <c:v>1.2260984763480982</c:v>
                </c:pt>
                <c:pt idx="89">
                  <c:v>1.1689893323479952</c:v>
                </c:pt>
                <c:pt idx="90">
                  <c:v>1.1603926945605767</c:v>
                </c:pt>
                <c:pt idx="91">
                  <c:v>1.1395854696408967</c:v>
                </c:pt>
                <c:pt idx="92">
                  <c:v>1.0786391916228406</c:v>
                </c:pt>
                <c:pt idx="93">
                  <c:v>1.0764840817902752</c:v>
                </c:pt>
                <c:pt idx="94">
                  <c:v>1.0513962025627031</c:v>
                </c:pt>
                <c:pt idx="95">
                  <c:v>1.0396460726762009</c:v>
                </c:pt>
                <c:pt idx="96">
                  <c:v>1.0345228392484773</c:v>
                </c:pt>
                <c:pt idx="97">
                  <c:v>0.9754683792522334</c:v>
                </c:pt>
                <c:pt idx="98">
                  <c:v>0.97467111706730858</c:v>
                </c:pt>
                <c:pt idx="99">
                  <c:v>0.9737642243764304</c:v>
                </c:pt>
                <c:pt idx="100">
                  <c:v>0.9523844438945317</c:v>
                </c:pt>
                <c:pt idx="101">
                  <c:v>0.94245739810805196</c:v>
                </c:pt>
                <c:pt idx="102">
                  <c:v>0.90695774331570789</c:v>
                </c:pt>
                <c:pt idx="103">
                  <c:v>0.90210721234623525</c:v>
                </c:pt>
                <c:pt idx="104">
                  <c:v>0.88745442602744529</c:v>
                </c:pt>
                <c:pt idx="105">
                  <c:v>0.88502770685828747</c:v>
                </c:pt>
                <c:pt idx="106">
                  <c:v>0.88054404812336706</c:v>
                </c:pt>
                <c:pt idx="107">
                  <c:v>0.85738791047545559</c:v>
                </c:pt>
                <c:pt idx="108">
                  <c:v>0.82576664005556966</c:v>
                </c:pt>
                <c:pt idx="109">
                  <c:v>0.81080337634007504</c:v>
                </c:pt>
                <c:pt idx="110">
                  <c:v>0.79316467715374239</c:v>
                </c:pt>
                <c:pt idx="111">
                  <c:v>0.78426937520796169</c:v>
                </c:pt>
                <c:pt idx="112">
                  <c:v>0.73737489017668167</c:v>
                </c:pt>
                <c:pt idx="113">
                  <c:v>0.71104536994411704</c:v>
                </c:pt>
                <c:pt idx="114">
                  <c:v>0.70962660174743775</c:v>
                </c:pt>
                <c:pt idx="115">
                  <c:v>0.68782137169932023</c:v>
                </c:pt>
                <c:pt idx="116">
                  <c:v>0.67610128642863154</c:v>
                </c:pt>
                <c:pt idx="117">
                  <c:v>0.66692245706028386</c:v>
                </c:pt>
                <c:pt idx="118">
                  <c:v>0.59896496113925846</c:v>
                </c:pt>
                <c:pt idx="119">
                  <c:v>0.53989543268412321</c:v>
                </c:pt>
                <c:pt idx="120">
                  <c:v>0.49795615655383285</c:v>
                </c:pt>
                <c:pt idx="121">
                  <c:v>0.48146995292673633</c:v>
                </c:pt>
                <c:pt idx="122">
                  <c:v>0.45472914676019816</c:v>
                </c:pt>
                <c:pt idx="123">
                  <c:v>0.43305290430242227</c:v>
                </c:pt>
                <c:pt idx="124">
                  <c:v>0.3949533244619281</c:v>
                </c:pt>
                <c:pt idx="125">
                  <c:v>0.36871253012462102</c:v>
                </c:pt>
                <c:pt idx="126">
                  <c:v>0.25164380857214841</c:v>
                </c:pt>
                <c:pt idx="127">
                  <c:v>0.24353931559719655</c:v>
                </c:pt>
                <c:pt idx="128">
                  <c:v>0.2335851524836503</c:v>
                </c:pt>
                <c:pt idx="129">
                  <c:v>0.23249658216455416</c:v>
                </c:pt>
                <c:pt idx="130">
                  <c:v>0.22195937989733405</c:v>
                </c:pt>
                <c:pt idx="131">
                  <c:v>0.22186249012205028</c:v>
                </c:pt>
                <c:pt idx="132">
                  <c:v>0.19534490582418451</c:v>
                </c:pt>
                <c:pt idx="133">
                  <c:v>0.19135389792671642</c:v>
                </c:pt>
                <c:pt idx="134">
                  <c:v>0.19089131195309728</c:v>
                </c:pt>
                <c:pt idx="135">
                  <c:v>0.17787206064832306</c:v>
                </c:pt>
                <c:pt idx="136">
                  <c:v>0.16604979257979835</c:v>
                </c:pt>
                <c:pt idx="137">
                  <c:v>0.14269005480878771</c:v>
                </c:pt>
                <c:pt idx="138">
                  <c:v>0.13909667639873957</c:v>
                </c:pt>
                <c:pt idx="139">
                  <c:v>0.13772599668597341</c:v>
                </c:pt>
                <c:pt idx="140">
                  <c:v>0.13758665227165734</c:v>
                </c:pt>
                <c:pt idx="141">
                  <c:v>0.12500068732821656</c:v>
                </c:pt>
                <c:pt idx="142">
                  <c:v>0.10432103173638829</c:v>
                </c:pt>
                <c:pt idx="143">
                  <c:v>9.9955819387389511E-2</c:v>
                </c:pt>
                <c:pt idx="144">
                  <c:v>8.8971079911861928E-2</c:v>
                </c:pt>
                <c:pt idx="145">
                  <c:v>8.8459012701467721E-2</c:v>
                </c:pt>
                <c:pt idx="146">
                  <c:v>5.6604130851889423E-2</c:v>
                </c:pt>
                <c:pt idx="147">
                  <c:v>4.8896757257376855E-2</c:v>
                </c:pt>
                <c:pt idx="148">
                  <c:v>4.7733076940535746E-2</c:v>
                </c:pt>
                <c:pt idx="149">
                  <c:v>1.1491201297388898E-3</c:v>
                </c:pt>
                <c:pt idx="150">
                  <c:v>-2.4307578549453979E-4</c:v>
                </c:pt>
                <c:pt idx="151">
                  <c:v>-1.2379027777846829E-3</c:v>
                </c:pt>
                <c:pt idx="152">
                  <c:v>-2.8790014322892077E-2</c:v>
                </c:pt>
                <c:pt idx="153">
                  <c:v>-4.8983712471364349E-2</c:v>
                </c:pt>
                <c:pt idx="154">
                  <c:v>-5.2139854561994881E-2</c:v>
                </c:pt>
                <c:pt idx="155">
                  <c:v>-6.2273923183353119E-2</c:v>
                </c:pt>
                <c:pt idx="156">
                  <c:v>-9.6430048522400114E-2</c:v>
                </c:pt>
                <c:pt idx="157">
                  <c:v>-9.8279054851115433E-2</c:v>
                </c:pt>
                <c:pt idx="158">
                  <c:v>-9.8516304987863457E-2</c:v>
                </c:pt>
                <c:pt idx="159">
                  <c:v>-0.10201041237407615</c:v>
                </c:pt>
                <c:pt idx="160">
                  <c:v>-0.12219252411999371</c:v>
                </c:pt>
                <c:pt idx="161">
                  <c:v>-0.13620419338997625</c:v>
                </c:pt>
                <c:pt idx="162">
                  <c:v>-0.14764857651729191</c:v>
                </c:pt>
                <c:pt idx="163">
                  <c:v>-0.15444389302837447</c:v>
                </c:pt>
                <c:pt idx="164">
                  <c:v>-0.15563198272579726</c:v>
                </c:pt>
                <c:pt idx="165">
                  <c:v>-0.15602105767857744</c:v>
                </c:pt>
                <c:pt idx="166">
                  <c:v>-0.16071261187958275</c:v>
                </c:pt>
                <c:pt idx="167">
                  <c:v>-0.16221608443130808</c:v>
                </c:pt>
                <c:pt idx="168">
                  <c:v>-0.17654261338743815</c:v>
                </c:pt>
                <c:pt idx="169">
                  <c:v>-0.1768005741476566</c:v>
                </c:pt>
                <c:pt idx="170">
                  <c:v>-0.18679499455064619</c:v>
                </c:pt>
                <c:pt idx="171">
                  <c:v>-0.18687442621769357</c:v>
                </c:pt>
                <c:pt idx="172">
                  <c:v>-0.1894943224806207</c:v>
                </c:pt>
                <c:pt idx="173">
                  <c:v>-0.19038495069481431</c:v>
                </c:pt>
                <c:pt idx="174">
                  <c:v>-0.19438599140487334</c:v>
                </c:pt>
                <c:pt idx="175">
                  <c:v>-0.21243360963953073</c:v>
                </c:pt>
                <c:pt idx="176">
                  <c:v>-0.21465088221326933</c:v>
                </c:pt>
                <c:pt idx="177">
                  <c:v>-0.22037307360119485</c:v>
                </c:pt>
                <c:pt idx="178">
                  <c:v>-0.22841305051645744</c:v>
                </c:pt>
                <c:pt idx="179">
                  <c:v>-0.22926141850775128</c:v>
                </c:pt>
                <c:pt idx="180">
                  <c:v>-0.22963876211595302</c:v>
                </c:pt>
                <c:pt idx="181">
                  <c:v>-0.23069634007316164</c:v>
                </c:pt>
                <c:pt idx="182">
                  <c:v>-0.23597783606879297</c:v>
                </c:pt>
                <c:pt idx="183">
                  <c:v>-0.2370381484456443</c:v>
                </c:pt>
                <c:pt idx="184">
                  <c:v>-0.23976240943983385</c:v>
                </c:pt>
                <c:pt idx="185">
                  <c:v>-0.25023252379262129</c:v>
                </c:pt>
                <c:pt idx="186">
                  <c:v>-0.26530783461231877</c:v>
                </c:pt>
                <c:pt idx="187">
                  <c:v>-0.27472005166614277</c:v>
                </c:pt>
                <c:pt idx="188">
                  <c:v>-0.2749098444500202</c:v>
                </c:pt>
                <c:pt idx="189">
                  <c:v>-0.27823068109656024</c:v>
                </c:pt>
                <c:pt idx="190">
                  <c:v>-0.28013333059976997</c:v>
                </c:pt>
                <c:pt idx="191">
                  <c:v>-0.28547511652277535</c:v>
                </c:pt>
                <c:pt idx="192">
                  <c:v>-0.28979155887915198</c:v>
                </c:pt>
                <c:pt idx="193">
                  <c:v>-0.29699464653288921</c:v>
                </c:pt>
                <c:pt idx="194">
                  <c:v>-0.30476989903825391</c:v>
                </c:pt>
                <c:pt idx="195">
                  <c:v>-0.30680761239053922</c:v>
                </c:pt>
                <c:pt idx="196">
                  <c:v>-0.30715529653807039</c:v>
                </c:pt>
                <c:pt idx="197">
                  <c:v>-0.31040021284326791</c:v>
                </c:pt>
                <c:pt idx="198">
                  <c:v>-0.31321425364636291</c:v>
                </c:pt>
                <c:pt idx="199">
                  <c:v>-0.32130858163927023</c:v>
                </c:pt>
                <c:pt idx="200">
                  <c:v>-0.32131988989516813</c:v>
                </c:pt>
                <c:pt idx="201">
                  <c:v>-0.3215873987375204</c:v>
                </c:pt>
                <c:pt idx="202">
                  <c:v>-0.32175252524649611</c:v>
                </c:pt>
                <c:pt idx="203">
                  <c:v>-0.32221220057482647</c:v>
                </c:pt>
                <c:pt idx="204">
                  <c:v>-0.32556994403190487</c:v>
                </c:pt>
                <c:pt idx="205">
                  <c:v>-0.32616957179232475</c:v>
                </c:pt>
                <c:pt idx="206">
                  <c:v>-0.32716404905268792</c:v>
                </c:pt>
                <c:pt idx="207">
                  <c:v>-0.32774749161147909</c:v>
                </c:pt>
                <c:pt idx="208">
                  <c:v>-0.32805484794131345</c:v>
                </c:pt>
                <c:pt idx="209">
                  <c:v>-0.32844337875452378</c:v>
                </c:pt>
                <c:pt idx="210">
                  <c:v>-0.32915248697027</c:v>
                </c:pt>
                <c:pt idx="211">
                  <c:v>-0.32946944214073692</c:v>
                </c:pt>
                <c:pt idx="212">
                  <c:v>-0.33054549125860078</c:v>
                </c:pt>
                <c:pt idx="213">
                  <c:v>-0.33071994742896393</c:v>
                </c:pt>
                <c:pt idx="214">
                  <c:v>-0.3308795564264857</c:v>
                </c:pt>
                <c:pt idx="215">
                  <c:v>-0.33234840335083415</c:v>
                </c:pt>
                <c:pt idx="216">
                  <c:v>-0.33283203038940101</c:v>
                </c:pt>
                <c:pt idx="217">
                  <c:v>-0.33293520589108816</c:v>
                </c:pt>
                <c:pt idx="218">
                  <c:v>-0.33311144741588805</c:v>
                </c:pt>
                <c:pt idx="219">
                  <c:v>-0.33318803420376764</c:v>
                </c:pt>
                <c:pt idx="220">
                  <c:v>-0.3331992442159768</c:v>
                </c:pt>
                <c:pt idx="221">
                  <c:v>-0.33336207259863393</c:v>
                </c:pt>
                <c:pt idx="222">
                  <c:v>-0.33337706590562188</c:v>
                </c:pt>
                <c:pt idx="223">
                  <c:v>-0.33340821086127193</c:v>
                </c:pt>
                <c:pt idx="224">
                  <c:v>-0.33341864275570288</c:v>
                </c:pt>
                <c:pt idx="225">
                  <c:v>-0.33342833733327382</c:v>
                </c:pt>
                <c:pt idx="226">
                  <c:v>-0.33345196959835199</c:v>
                </c:pt>
                <c:pt idx="227">
                  <c:v>-0.33358809527783162</c:v>
                </c:pt>
                <c:pt idx="228">
                  <c:v>-0.33359347493103364</c:v>
                </c:pt>
                <c:pt idx="229">
                  <c:v>-0.33366287908426795</c:v>
                </c:pt>
                <c:pt idx="230">
                  <c:v>-0.33374104108700209</c:v>
                </c:pt>
                <c:pt idx="231">
                  <c:v>-0.3337416207793229</c:v>
                </c:pt>
                <c:pt idx="232">
                  <c:v>-0.33375426999981084</c:v>
                </c:pt>
                <c:pt idx="233">
                  <c:v>-0.3337888598723131</c:v>
                </c:pt>
                <c:pt idx="234">
                  <c:v>-0.33383811194474955</c:v>
                </c:pt>
                <c:pt idx="235">
                  <c:v>-0.33383820818653476</c:v>
                </c:pt>
                <c:pt idx="236">
                  <c:v>-0.33383307959549668</c:v>
                </c:pt>
                <c:pt idx="237">
                  <c:v>-0.33380915505152764</c:v>
                </c:pt>
                <c:pt idx="238">
                  <c:v>-0.33380405041505057</c:v>
                </c:pt>
                <c:pt idx="239">
                  <c:v>-0.33379568563662598</c:v>
                </c:pt>
                <c:pt idx="240">
                  <c:v>-0.33353724559310827</c:v>
                </c:pt>
                <c:pt idx="241">
                  <c:v>-0.3322584831467168</c:v>
                </c:pt>
                <c:pt idx="242">
                  <c:v>-0.33199480439187834</c:v>
                </c:pt>
                <c:pt idx="243">
                  <c:v>-0.3315478606986435</c:v>
                </c:pt>
                <c:pt idx="244">
                  <c:v>-0.33135781974389555</c:v>
                </c:pt>
                <c:pt idx="245">
                  <c:v>-0.33119391822260624</c:v>
                </c:pt>
                <c:pt idx="246">
                  <c:v>-0.33094536672871211</c:v>
                </c:pt>
                <c:pt idx="247">
                  <c:v>-0.33071301674502074</c:v>
                </c:pt>
                <c:pt idx="248">
                  <c:v>-0.33058368999468346</c:v>
                </c:pt>
                <c:pt idx="249">
                  <c:v>-0.32978454773843868</c:v>
                </c:pt>
                <c:pt idx="250">
                  <c:v>-0.32907964014349034</c:v>
                </c:pt>
                <c:pt idx="251">
                  <c:v>-0.32888478584296887</c:v>
                </c:pt>
                <c:pt idx="252">
                  <c:v>-0.32870951969426887</c:v>
                </c:pt>
                <c:pt idx="253">
                  <c:v>-0.32862128101438071</c:v>
                </c:pt>
                <c:pt idx="254">
                  <c:v>-0.32851011274800346</c:v>
                </c:pt>
                <c:pt idx="255">
                  <c:v>-0.32839822876114066</c:v>
                </c:pt>
                <c:pt idx="256">
                  <c:v>-0.3278945800965456</c:v>
                </c:pt>
                <c:pt idx="257">
                  <c:v>-0.32789128725860994</c:v>
                </c:pt>
                <c:pt idx="258">
                  <c:v>-0.32784991860378199</c:v>
                </c:pt>
                <c:pt idx="259">
                  <c:v>-0.32703633632556794</c:v>
                </c:pt>
                <c:pt idx="260">
                  <c:v>-0.32565349810277944</c:v>
                </c:pt>
                <c:pt idx="261">
                  <c:v>-0.32471739908685837</c:v>
                </c:pt>
                <c:pt idx="262">
                  <c:v>-0.32392636728746105</c:v>
                </c:pt>
                <c:pt idx="263">
                  <c:v>-0.32333526615117147</c:v>
                </c:pt>
                <c:pt idx="264">
                  <c:v>-0.32288995596468606</c:v>
                </c:pt>
                <c:pt idx="265">
                  <c:v>-0.32256831932369323</c:v>
                </c:pt>
                <c:pt idx="266">
                  <c:v>-0.3222039340302576</c:v>
                </c:pt>
                <c:pt idx="267">
                  <c:v>-0.32194327561192981</c:v>
                </c:pt>
                <c:pt idx="268">
                  <c:v>-0.32151735308065543</c:v>
                </c:pt>
                <c:pt idx="269">
                  <c:v>-0.32109208222495678</c:v>
                </c:pt>
                <c:pt idx="270">
                  <c:v>-0.3210699043930072</c:v>
                </c:pt>
                <c:pt idx="271">
                  <c:v>-0.3207495544062855</c:v>
                </c:pt>
                <c:pt idx="272">
                  <c:v>-0.31998956660039291</c:v>
                </c:pt>
                <c:pt idx="273">
                  <c:v>-0.31901015536148769</c:v>
                </c:pt>
                <c:pt idx="274">
                  <c:v>-0.31869943785732247</c:v>
                </c:pt>
                <c:pt idx="275">
                  <c:v>-0.31832960023487367</c:v>
                </c:pt>
                <c:pt idx="276">
                  <c:v>-0.31814011509323059</c:v>
                </c:pt>
                <c:pt idx="277">
                  <c:v>-0.31787954328171786</c:v>
                </c:pt>
                <c:pt idx="278">
                  <c:v>-0.31771105526502286</c:v>
                </c:pt>
                <c:pt idx="279">
                  <c:v>-0.31737161341752707</c:v>
                </c:pt>
                <c:pt idx="280">
                  <c:v>-0.31732500349751813</c:v>
                </c:pt>
                <c:pt idx="281">
                  <c:v>-0.31725804492185983</c:v>
                </c:pt>
                <c:pt idx="282">
                  <c:v>-0.31712059620296618</c:v>
                </c:pt>
                <c:pt idx="283">
                  <c:v>-0.31711093393494227</c:v>
                </c:pt>
                <c:pt idx="284">
                  <c:v>-0.31708790828498312</c:v>
                </c:pt>
                <c:pt idx="285">
                  <c:v>-0.31642889439903321</c:v>
                </c:pt>
                <c:pt idx="286">
                  <c:v>-0.31638393157406686</c:v>
                </c:pt>
                <c:pt idx="287">
                  <c:v>-0.31610733055255391</c:v>
                </c:pt>
                <c:pt idx="288">
                  <c:v>-0.31606435335791438</c:v>
                </c:pt>
                <c:pt idx="289">
                  <c:v>-0.31587762498322203</c:v>
                </c:pt>
                <c:pt idx="290">
                  <c:v>-0.31546915349209392</c:v>
                </c:pt>
                <c:pt idx="291">
                  <c:v>-0.31546800378716267</c:v>
                </c:pt>
                <c:pt idx="292">
                  <c:v>-0.31543387147552338</c:v>
                </c:pt>
                <c:pt idx="293">
                  <c:v>-0.31498709274313175</c:v>
                </c:pt>
                <c:pt idx="294">
                  <c:v>-0.31485567967710804</c:v>
                </c:pt>
                <c:pt idx="295">
                  <c:v>-0.31451692175303059</c:v>
                </c:pt>
                <c:pt idx="296">
                  <c:v>-0.31450195357750399</c:v>
                </c:pt>
                <c:pt idx="297">
                  <c:v>-0.31440111917031466</c:v>
                </c:pt>
                <c:pt idx="298">
                  <c:v>-0.31426514951572226</c:v>
                </c:pt>
                <c:pt idx="299">
                  <c:v>-0.31399864137143574</c:v>
                </c:pt>
                <c:pt idx="300">
                  <c:v>-0.31394224554350281</c:v>
                </c:pt>
                <c:pt idx="301">
                  <c:v>-0.31391809453440978</c:v>
                </c:pt>
                <c:pt idx="302">
                  <c:v>-0.31326167030475904</c:v>
                </c:pt>
                <c:pt idx="303">
                  <c:v>-0.31306400309036508</c:v>
                </c:pt>
                <c:pt idx="304">
                  <c:v>-0.31275579157868005</c:v>
                </c:pt>
                <c:pt idx="305">
                  <c:v>-0.31262598572756151</c:v>
                </c:pt>
                <c:pt idx="306">
                  <c:v>-0.31253649446391307</c:v>
                </c:pt>
                <c:pt idx="307">
                  <c:v>-0.31243530085182236</c:v>
                </c:pt>
                <c:pt idx="308">
                  <c:v>-0.31235593034451803</c:v>
                </c:pt>
                <c:pt idx="309">
                  <c:v>-0.31159874225228368</c:v>
                </c:pt>
                <c:pt idx="310">
                  <c:v>-0.31130065456146649</c:v>
                </c:pt>
                <c:pt idx="311">
                  <c:v>-0.31114652335174853</c:v>
                </c:pt>
                <c:pt idx="312">
                  <c:v>-0.31067085556680585</c:v>
                </c:pt>
                <c:pt idx="313">
                  <c:v>-0.31005691922938627</c:v>
                </c:pt>
                <c:pt idx="314">
                  <c:v>-0.30833869528746938</c:v>
                </c:pt>
                <c:pt idx="315">
                  <c:v>-0.30717271750303965</c:v>
                </c:pt>
                <c:pt idx="316">
                  <c:v>-0.30652588908470069</c:v>
                </c:pt>
                <c:pt idx="317">
                  <c:v>-0.30624310202318572</c:v>
                </c:pt>
                <c:pt idx="318">
                  <c:v>-0.30591210977901984</c:v>
                </c:pt>
                <c:pt idx="319">
                  <c:v>-0.30515609468627414</c:v>
                </c:pt>
                <c:pt idx="320">
                  <c:v>-0.30417131178104917</c:v>
                </c:pt>
                <c:pt idx="321">
                  <c:v>-0.30380549362715747</c:v>
                </c:pt>
                <c:pt idx="322">
                  <c:v>-0.30353692587654191</c:v>
                </c:pt>
                <c:pt idx="323">
                  <c:v>-0.30345074394933658</c:v>
                </c:pt>
                <c:pt idx="324">
                  <c:v>-0.30255354348785346</c:v>
                </c:pt>
                <c:pt idx="325">
                  <c:v>-0.30237820025035411</c:v>
                </c:pt>
                <c:pt idx="326">
                  <c:v>-0.30225850575466939</c:v>
                </c:pt>
                <c:pt idx="327">
                  <c:v>-0.30151419486727971</c:v>
                </c:pt>
                <c:pt idx="328">
                  <c:v>-0.29994314096021757</c:v>
                </c:pt>
                <c:pt idx="329">
                  <c:v>-0.29827255174362755</c:v>
                </c:pt>
                <c:pt idx="330">
                  <c:v>-0.29807833510836623</c:v>
                </c:pt>
                <c:pt idx="331">
                  <c:v>-0.29805278104593036</c:v>
                </c:pt>
                <c:pt idx="332">
                  <c:v>-0.29789983925572994</c:v>
                </c:pt>
                <c:pt idx="333">
                  <c:v>-0.29646563758196454</c:v>
                </c:pt>
                <c:pt idx="334">
                  <c:v>-0.29604326861341157</c:v>
                </c:pt>
                <c:pt idx="335">
                  <c:v>-0.29577672014125422</c:v>
                </c:pt>
                <c:pt idx="336">
                  <c:v>-0.29417060788125227</c:v>
                </c:pt>
                <c:pt idx="337">
                  <c:v>-0.29227090000949651</c:v>
                </c:pt>
                <c:pt idx="338">
                  <c:v>-0.2908904976146145</c:v>
                </c:pt>
                <c:pt idx="339">
                  <c:v>-0.28787915738916237</c:v>
                </c:pt>
                <c:pt idx="340">
                  <c:v>-0.28549143723728054</c:v>
                </c:pt>
                <c:pt idx="341">
                  <c:v>-0.28248094164284954</c:v>
                </c:pt>
                <c:pt idx="342">
                  <c:v>-0.28187333462487096</c:v>
                </c:pt>
                <c:pt idx="343">
                  <c:v>-0.28070333462801234</c:v>
                </c:pt>
                <c:pt idx="344">
                  <c:v>-0.27853720624411515</c:v>
                </c:pt>
                <c:pt idx="345">
                  <c:v>-0.27515040112115496</c:v>
                </c:pt>
                <c:pt idx="346">
                  <c:v>-0.27028308038456128</c:v>
                </c:pt>
                <c:pt idx="347">
                  <c:v>-0.26792421939620947</c:v>
                </c:pt>
                <c:pt idx="348">
                  <c:v>-0.26533892944197301</c:v>
                </c:pt>
                <c:pt idx="349">
                  <c:v>-0.26318932750081547</c:v>
                </c:pt>
                <c:pt idx="350">
                  <c:v>-0.2592754842353413</c:v>
                </c:pt>
                <c:pt idx="351">
                  <c:v>-0.25634475010721314</c:v>
                </c:pt>
                <c:pt idx="352">
                  <c:v>-0.2555133284608706</c:v>
                </c:pt>
                <c:pt idx="353">
                  <c:v>-0.25535194731075883</c:v>
                </c:pt>
                <c:pt idx="354">
                  <c:v>-0.25513538510276401</c:v>
                </c:pt>
                <c:pt idx="355">
                  <c:v>-0.25484716653089823</c:v>
                </c:pt>
                <c:pt idx="356">
                  <c:v>-0.25459032268180426</c:v>
                </c:pt>
                <c:pt idx="357">
                  <c:v>-0.25145883759538545</c:v>
                </c:pt>
                <c:pt idx="358">
                  <c:v>-0.25113700639609604</c:v>
                </c:pt>
                <c:pt idx="359">
                  <c:v>-0.24653178632057582</c:v>
                </c:pt>
                <c:pt idx="360">
                  <c:v>-0.24621713831223335</c:v>
                </c:pt>
                <c:pt idx="361">
                  <c:v>-0.24451052474273549</c:v>
                </c:pt>
                <c:pt idx="362">
                  <c:v>-0.24264259801736721</c:v>
                </c:pt>
                <c:pt idx="363">
                  <c:v>-0.24233826813073556</c:v>
                </c:pt>
                <c:pt idx="364">
                  <c:v>-0.24124106967279335</c:v>
                </c:pt>
                <c:pt idx="365">
                  <c:v>-0.23960277243266237</c:v>
                </c:pt>
                <c:pt idx="366">
                  <c:v>-0.23861634076122762</c:v>
                </c:pt>
                <c:pt idx="367">
                  <c:v>-0.23563057112389352</c:v>
                </c:pt>
                <c:pt idx="368">
                  <c:v>-0.23510520008374591</c:v>
                </c:pt>
                <c:pt idx="369">
                  <c:v>-0.23478270247619726</c:v>
                </c:pt>
                <c:pt idx="370">
                  <c:v>-0.23033283569550722</c:v>
                </c:pt>
                <c:pt idx="371">
                  <c:v>-0.22697538404969553</c:v>
                </c:pt>
                <c:pt idx="372">
                  <c:v>-0.22234063294220618</c:v>
                </c:pt>
                <c:pt idx="373">
                  <c:v>-0.22204072757576743</c:v>
                </c:pt>
                <c:pt idx="374">
                  <c:v>-0.2117585157295041</c:v>
                </c:pt>
                <c:pt idx="375">
                  <c:v>-0.21067233566663113</c:v>
                </c:pt>
                <c:pt idx="376">
                  <c:v>-0.19902162145831603</c:v>
                </c:pt>
                <c:pt idx="377">
                  <c:v>-0.19894011110468579</c:v>
                </c:pt>
                <c:pt idx="378">
                  <c:v>-0.18599619102175335</c:v>
                </c:pt>
                <c:pt idx="379">
                  <c:v>-0.18139814801151211</c:v>
                </c:pt>
                <c:pt idx="380">
                  <c:v>-0.17403411599080965</c:v>
                </c:pt>
                <c:pt idx="381">
                  <c:v>-0.17261220402451283</c:v>
                </c:pt>
                <c:pt idx="382">
                  <c:v>-0.16229734854929134</c:v>
                </c:pt>
                <c:pt idx="383">
                  <c:v>-0.15911618435273223</c:v>
                </c:pt>
                <c:pt idx="384">
                  <c:v>-0.15050139923110617</c:v>
                </c:pt>
                <c:pt idx="385">
                  <c:v>-0.14866026045103187</c:v>
                </c:pt>
                <c:pt idx="386">
                  <c:v>-0.13841851107477243</c:v>
                </c:pt>
                <c:pt idx="387">
                  <c:v>-0.13166044798003185</c:v>
                </c:pt>
                <c:pt idx="388">
                  <c:v>-0.12653136756187244</c:v>
                </c:pt>
                <c:pt idx="389">
                  <c:v>-0.12485470353431172</c:v>
                </c:pt>
                <c:pt idx="390">
                  <c:v>-0.10857594338438581</c:v>
                </c:pt>
                <c:pt idx="391">
                  <c:v>-9.0767001984460194E-2</c:v>
                </c:pt>
                <c:pt idx="392">
                  <c:v>-8.4539714100961838E-2</c:v>
                </c:pt>
                <c:pt idx="393">
                  <c:v>-8.4193182745035955E-2</c:v>
                </c:pt>
                <c:pt idx="394">
                  <c:v>-7.7895576466294081E-2</c:v>
                </c:pt>
                <c:pt idx="395">
                  <c:v>-6.0261306043963181E-2</c:v>
                </c:pt>
                <c:pt idx="396">
                  <c:v>-5.3215190255149203E-2</c:v>
                </c:pt>
                <c:pt idx="397">
                  <c:v>-5.0379859486567646E-2</c:v>
                </c:pt>
                <c:pt idx="398">
                  <c:v>-3.0912894462914231E-2</c:v>
                </c:pt>
                <c:pt idx="399">
                  <c:v>-2.3158862968696958E-2</c:v>
                </c:pt>
                <c:pt idx="400">
                  <c:v>4.809229680636129E-3</c:v>
                </c:pt>
                <c:pt idx="401">
                  <c:v>7.5613235922364908E-3</c:v>
                </c:pt>
                <c:pt idx="402">
                  <c:v>1.3506556351683408E-2</c:v>
                </c:pt>
                <c:pt idx="403">
                  <c:v>1.4651385984664422E-2</c:v>
                </c:pt>
                <c:pt idx="404">
                  <c:v>2.2424440334249063E-2</c:v>
                </c:pt>
                <c:pt idx="405">
                  <c:v>2.2758506684594337E-2</c:v>
                </c:pt>
                <c:pt idx="406">
                  <c:v>2.7467264080279996E-2</c:v>
                </c:pt>
                <c:pt idx="407">
                  <c:v>3.4646714546820334E-2</c:v>
                </c:pt>
                <c:pt idx="408">
                  <c:v>3.8879437693871033E-2</c:v>
                </c:pt>
                <c:pt idx="409">
                  <c:v>3.9367298050862587E-2</c:v>
                </c:pt>
                <c:pt idx="410">
                  <c:v>5.8294017702071876E-2</c:v>
                </c:pt>
                <c:pt idx="411">
                  <c:v>5.8830198410666057E-2</c:v>
                </c:pt>
                <c:pt idx="412">
                  <c:v>6.9531018561841407E-2</c:v>
                </c:pt>
                <c:pt idx="413">
                  <c:v>0.10112923408646246</c:v>
                </c:pt>
                <c:pt idx="414">
                  <c:v>0.10185133388389289</c:v>
                </c:pt>
                <c:pt idx="415">
                  <c:v>0.10393491324474358</c:v>
                </c:pt>
                <c:pt idx="416">
                  <c:v>0.11394361801172703</c:v>
                </c:pt>
                <c:pt idx="417">
                  <c:v>0.11613436951354128</c:v>
                </c:pt>
                <c:pt idx="418">
                  <c:v>0.11672683844560172</c:v>
                </c:pt>
                <c:pt idx="419">
                  <c:v>0.11668381549664097</c:v>
                </c:pt>
                <c:pt idx="420">
                  <c:v>0.11522794231556599</c:v>
                </c:pt>
                <c:pt idx="421">
                  <c:v>0.11408923067099863</c:v>
                </c:pt>
                <c:pt idx="422">
                  <c:v>0.10067631633543339</c:v>
                </c:pt>
                <c:pt idx="423">
                  <c:v>9.5857175561452124E-2</c:v>
                </c:pt>
                <c:pt idx="424">
                  <c:v>9.4816596289700961E-2</c:v>
                </c:pt>
                <c:pt idx="425">
                  <c:v>9.3232305129670401E-2</c:v>
                </c:pt>
                <c:pt idx="426">
                  <c:v>7.4647186342470029E-2</c:v>
                </c:pt>
                <c:pt idx="427">
                  <c:v>7.3466645033336775E-2</c:v>
                </c:pt>
                <c:pt idx="428">
                  <c:v>6.6836419494955557E-2</c:v>
                </c:pt>
                <c:pt idx="429">
                  <c:v>6.3320581348950356E-2</c:v>
                </c:pt>
                <c:pt idx="430">
                  <c:v>5.9588683093172889E-2</c:v>
                </c:pt>
                <c:pt idx="431">
                  <c:v>5.8390335669576743E-2</c:v>
                </c:pt>
                <c:pt idx="432">
                  <c:v>5.3942832973942423E-2</c:v>
                </c:pt>
                <c:pt idx="433">
                  <c:v>4.6895208485416617E-2</c:v>
                </c:pt>
                <c:pt idx="434">
                  <c:v>3.0749402276526006E-2</c:v>
                </c:pt>
                <c:pt idx="435">
                  <c:v>2.2544827640879284E-2</c:v>
                </c:pt>
                <c:pt idx="436">
                  <c:v>2.0305040267173169E-2</c:v>
                </c:pt>
                <c:pt idx="437">
                  <c:v>1.1228799331504113E-2</c:v>
                </c:pt>
                <c:pt idx="438">
                  <c:v>-2.1181193110134444E-2</c:v>
                </c:pt>
                <c:pt idx="439">
                  <c:v>-2.7266960713022037E-2</c:v>
                </c:pt>
                <c:pt idx="440">
                  <c:v>-3.5529959049489968E-2</c:v>
                </c:pt>
                <c:pt idx="441">
                  <c:v>-3.5801304652758326E-2</c:v>
                </c:pt>
                <c:pt idx="442">
                  <c:v>-4.6256055079528124E-2</c:v>
                </c:pt>
                <c:pt idx="443">
                  <c:v>-5.1295297224968728E-2</c:v>
                </c:pt>
                <c:pt idx="444">
                  <c:v>-5.5828889712517871E-2</c:v>
                </c:pt>
                <c:pt idx="445">
                  <c:v>-6.7583468362109045E-2</c:v>
                </c:pt>
                <c:pt idx="446">
                  <c:v>-7.5132447339406383E-2</c:v>
                </c:pt>
                <c:pt idx="447">
                  <c:v>-9.9718703632730943E-2</c:v>
                </c:pt>
                <c:pt idx="448">
                  <c:v>-0.10342061645948597</c:v>
                </c:pt>
                <c:pt idx="449">
                  <c:v>-0.13229036730386312</c:v>
                </c:pt>
                <c:pt idx="450">
                  <c:v>-0.13271955043143091</c:v>
                </c:pt>
                <c:pt idx="451">
                  <c:v>-0.14232074951519724</c:v>
                </c:pt>
                <c:pt idx="452">
                  <c:v>-0.1431197674657847</c:v>
                </c:pt>
                <c:pt idx="453">
                  <c:v>-0.14527219884293974</c:v>
                </c:pt>
                <c:pt idx="454">
                  <c:v>-0.15429073838829588</c:v>
                </c:pt>
                <c:pt idx="455">
                  <c:v>-0.15441466230722423</c:v>
                </c:pt>
                <c:pt idx="456">
                  <c:v>-0.16861808320956584</c:v>
                </c:pt>
                <c:pt idx="457">
                  <c:v>-0.17201178805949358</c:v>
                </c:pt>
                <c:pt idx="458">
                  <c:v>-0.17693160051759893</c:v>
                </c:pt>
                <c:pt idx="459">
                  <c:v>-0.1776439620138266</c:v>
                </c:pt>
                <c:pt idx="460">
                  <c:v>-0.1787874537712133</c:v>
                </c:pt>
                <c:pt idx="461">
                  <c:v>-0.21950468654491928</c:v>
                </c:pt>
                <c:pt idx="462">
                  <c:v>-0.23195317240118918</c:v>
                </c:pt>
                <c:pt idx="463">
                  <c:v>-0.23615991166186845</c:v>
                </c:pt>
                <c:pt idx="464">
                  <c:v>-0.24047392456460859</c:v>
                </c:pt>
                <c:pt idx="465">
                  <c:v>-0.24197666875468204</c:v>
                </c:pt>
                <c:pt idx="466">
                  <c:v>-0.24310677786704105</c:v>
                </c:pt>
                <c:pt idx="467">
                  <c:v>-0.24717845754133094</c:v>
                </c:pt>
                <c:pt idx="468">
                  <c:v>-0.24860193618178439</c:v>
                </c:pt>
                <c:pt idx="469">
                  <c:v>-0.25513586871678484</c:v>
                </c:pt>
                <c:pt idx="470">
                  <c:v>-0.25519333213505657</c:v>
                </c:pt>
                <c:pt idx="471">
                  <c:v>-0.25767154366013489</c:v>
                </c:pt>
                <c:pt idx="472">
                  <c:v>-0.25918906815569631</c:v>
                </c:pt>
                <c:pt idx="473">
                  <c:v>-0.25920183143247844</c:v>
                </c:pt>
                <c:pt idx="474">
                  <c:v>-0.26108615871120655</c:v>
                </c:pt>
                <c:pt idx="475">
                  <c:v>-0.26548067603007564</c:v>
                </c:pt>
                <c:pt idx="476">
                  <c:v>-0.26746206989717169</c:v>
                </c:pt>
                <c:pt idx="477">
                  <c:v>-0.27117299572218556</c:v>
                </c:pt>
                <c:pt idx="478">
                  <c:v>-0.27221031687336517</c:v>
                </c:pt>
                <c:pt idx="479">
                  <c:v>-0.27560843922694733</c:v>
                </c:pt>
                <c:pt idx="480">
                  <c:v>-0.27819789622856295</c:v>
                </c:pt>
                <c:pt idx="481">
                  <c:v>-0.28021608930570352</c:v>
                </c:pt>
                <c:pt idx="482">
                  <c:v>-0.28235404329778468</c:v>
                </c:pt>
                <c:pt idx="483">
                  <c:v>-0.28279314382509479</c:v>
                </c:pt>
                <c:pt idx="484">
                  <c:v>-0.28339952210188635</c:v>
                </c:pt>
                <c:pt idx="485">
                  <c:v>-0.2840912149189716</c:v>
                </c:pt>
                <c:pt idx="486">
                  <c:v>-0.28470277188519422</c:v>
                </c:pt>
                <c:pt idx="487">
                  <c:v>-0.28502074786679543</c:v>
                </c:pt>
                <c:pt idx="488">
                  <c:v>-0.28629030863302862</c:v>
                </c:pt>
                <c:pt idx="489">
                  <c:v>-0.29416833480684712</c:v>
                </c:pt>
                <c:pt idx="490">
                  <c:v>-0.29776757831148348</c:v>
                </c:pt>
                <c:pt idx="491">
                  <c:v>-0.29895812385545018</c:v>
                </c:pt>
                <c:pt idx="492">
                  <c:v>-0.30035889570209751</c:v>
                </c:pt>
                <c:pt idx="493">
                  <c:v>-0.30465528934023212</c:v>
                </c:pt>
                <c:pt idx="494">
                  <c:v>-0.30756858633702322</c:v>
                </c:pt>
                <c:pt idx="495">
                  <c:v>-0.31394828143795284</c:v>
                </c:pt>
                <c:pt idx="496">
                  <c:v>-0.31685098897112507</c:v>
                </c:pt>
                <c:pt idx="497">
                  <c:v>-0.31904944154598347</c:v>
                </c:pt>
                <c:pt idx="498">
                  <c:v>-0.32057428087551365</c:v>
                </c:pt>
                <c:pt idx="499">
                  <c:v>-0.32159172084751653</c:v>
                </c:pt>
                <c:pt idx="500">
                  <c:v>-0.32165162513426715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47-4C53-B095-3C309E6E503D}"/>
            </c:ext>
          </c:extLst>
        </c:ser>
        <c:ser>
          <c:idx val="2"/>
          <c:order val="3"/>
          <c:tx>
            <c:v>ANN-central predictor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'test function'!$N$7:$N$507</c:f>
              <c:numCache>
                <c:formatCode>0.000</c:formatCode>
                <c:ptCount val="501"/>
                <c:pt idx="0">
                  <c:v>-0.99569429756711392</c:v>
                </c:pt>
                <c:pt idx="1">
                  <c:v>-0.99568056419404494</c:v>
                </c:pt>
                <c:pt idx="2">
                  <c:v>-0.99321005299294041</c:v>
                </c:pt>
                <c:pt idx="3">
                  <c:v>-0.9901713635457996</c:v>
                </c:pt>
                <c:pt idx="4">
                  <c:v>-0.98708933171046187</c:v>
                </c:pt>
                <c:pt idx="5">
                  <c:v>-0.9835524245552274</c:v>
                </c:pt>
                <c:pt idx="6">
                  <c:v>-0.98167576942930945</c:v>
                </c:pt>
                <c:pt idx="7">
                  <c:v>-0.97758000590186755</c:v>
                </c:pt>
                <c:pt idx="8">
                  <c:v>-0.97382748768372718</c:v>
                </c:pt>
                <c:pt idx="9">
                  <c:v>-0.96711666778159233</c:v>
                </c:pt>
                <c:pt idx="10">
                  <c:v>-0.9564964002773173</c:v>
                </c:pt>
                <c:pt idx="11">
                  <c:v>-0.94788637258041986</c:v>
                </c:pt>
                <c:pt idx="12">
                  <c:v>-0.94584243051856776</c:v>
                </c:pt>
                <c:pt idx="13">
                  <c:v>-0.94250841773549543</c:v>
                </c:pt>
                <c:pt idx="14">
                  <c:v>-0.94004832683049599</c:v>
                </c:pt>
                <c:pt idx="15">
                  <c:v>-0.93570579262225606</c:v>
                </c:pt>
                <c:pt idx="16">
                  <c:v>-0.93550746334227797</c:v>
                </c:pt>
                <c:pt idx="17">
                  <c:v>-0.93482258097911153</c:v>
                </c:pt>
                <c:pt idx="18">
                  <c:v>-0.93349182562365618</c:v>
                </c:pt>
                <c:pt idx="19">
                  <c:v>-0.9320361516103155</c:v>
                </c:pt>
                <c:pt idx="20">
                  <c:v>-0.92216007715921622</c:v>
                </c:pt>
                <c:pt idx="21">
                  <c:v>-0.9213429530640409</c:v>
                </c:pt>
                <c:pt idx="22">
                  <c:v>-0.91812831488684821</c:v>
                </c:pt>
                <c:pt idx="23">
                  <c:v>-0.91268822296765295</c:v>
                </c:pt>
                <c:pt idx="24">
                  <c:v>-0.90941232492293933</c:v>
                </c:pt>
                <c:pt idx="25">
                  <c:v>-0.89188450104523675</c:v>
                </c:pt>
                <c:pt idx="26">
                  <c:v>-0.8876090435688202</c:v>
                </c:pt>
                <c:pt idx="27">
                  <c:v>-0.88608525099301949</c:v>
                </c:pt>
                <c:pt idx="28">
                  <c:v>-0.88066697938096072</c:v>
                </c:pt>
                <c:pt idx="29">
                  <c:v>-0.87425009186275759</c:v>
                </c:pt>
                <c:pt idx="30">
                  <c:v>-0.86675520692845365</c:v>
                </c:pt>
                <c:pt idx="31">
                  <c:v>-0.86534099770392836</c:v>
                </c:pt>
                <c:pt idx="32">
                  <c:v>-0.86068345085598086</c:v>
                </c:pt>
                <c:pt idx="33">
                  <c:v>-0.86048938185259183</c:v>
                </c:pt>
                <c:pt idx="34">
                  <c:v>-0.85994439006333812</c:v>
                </c:pt>
                <c:pt idx="35">
                  <c:v>-0.84598411027436771</c:v>
                </c:pt>
                <c:pt idx="36">
                  <c:v>-0.83840833569535089</c:v>
                </c:pt>
                <c:pt idx="37">
                  <c:v>-0.83787060290430371</c:v>
                </c:pt>
                <c:pt idx="38">
                  <c:v>-0.83651914295196983</c:v>
                </c:pt>
                <c:pt idx="39">
                  <c:v>-0.83333357424212329</c:v>
                </c:pt>
                <c:pt idx="40">
                  <c:v>-0.83070770558237328</c:v>
                </c:pt>
                <c:pt idx="41">
                  <c:v>-0.8257258010660824</c:v>
                </c:pt>
                <c:pt idx="42">
                  <c:v>-0.81842631673824351</c:v>
                </c:pt>
                <c:pt idx="43">
                  <c:v>-0.81545632508858246</c:v>
                </c:pt>
                <c:pt idx="44">
                  <c:v>-0.809001184242917</c:v>
                </c:pt>
                <c:pt idx="45">
                  <c:v>-0.80890156297895377</c:v>
                </c:pt>
                <c:pt idx="46">
                  <c:v>-0.8056954108011285</c:v>
                </c:pt>
                <c:pt idx="47">
                  <c:v>-0.80361428399212254</c:v>
                </c:pt>
                <c:pt idx="48">
                  <c:v>-0.79556869619577042</c:v>
                </c:pt>
                <c:pt idx="49">
                  <c:v>-0.79060344417399464</c:v>
                </c:pt>
                <c:pt idx="50">
                  <c:v>-0.78993048450688685</c:v>
                </c:pt>
                <c:pt idx="51">
                  <c:v>-0.77969609002334561</c:v>
                </c:pt>
                <c:pt idx="52">
                  <c:v>-0.77900559271646896</c:v>
                </c:pt>
                <c:pt idx="53">
                  <c:v>-0.77676494446151012</c:v>
                </c:pt>
                <c:pt idx="54">
                  <c:v>-0.7667496034189738</c:v>
                </c:pt>
                <c:pt idx="55">
                  <c:v>-0.76633661175365764</c:v>
                </c:pt>
                <c:pt idx="56">
                  <c:v>-0.76423486794703943</c:v>
                </c:pt>
                <c:pt idx="57">
                  <c:v>-0.76162026425399332</c:v>
                </c:pt>
                <c:pt idx="58">
                  <c:v>-0.75830661772029262</c:v>
                </c:pt>
                <c:pt idx="59">
                  <c:v>-0.74753194675745438</c:v>
                </c:pt>
                <c:pt idx="60">
                  <c:v>-0.74709892911016262</c:v>
                </c:pt>
                <c:pt idx="61">
                  <c:v>-0.7449003338632032</c:v>
                </c:pt>
                <c:pt idx="62">
                  <c:v>-0.74316735635338893</c:v>
                </c:pt>
                <c:pt idx="63">
                  <c:v>-0.73920795298110353</c:v>
                </c:pt>
                <c:pt idx="64">
                  <c:v>-0.73270392593249456</c:v>
                </c:pt>
                <c:pt idx="65">
                  <c:v>-0.72864335338045993</c:v>
                </c:pt>
                <c:pt idx="66">
                  <c:v>-0.72422675632100053</c:v>
                </c:pt>
                <c:pt idx="67">
                  <c:v>-0.71278994777788252</c:v>
                </c:pt>
                <c:pt idx="68">
                  <c:v>-0.69972137984377292</c:v>
                </c:pt>
                <c:pt idx="69">
                  <c:v>-0.69947650301920916</c:v>
                </c:pt>
                <c:pt idx="70">
                  <c:v>-0.69507814293028125</c:v>
                </c:pt>
                <c:pt idx="71">
                  <c:v>-0.69313882813812233</c:v>
                </c:pt>
                <c:pt idx="72">
                  <c:v>-0.69152140702818343</c:v>
                </c:pt>
                <c:pt idx="73">
                  <c:v>-0.68893897374440671</c:v>
                </c:pt>
                <c:pt idx="74">
                  <c:v>-0.68594426147367704</c:v>
                </c:pt>
                <c:pt idx="75">
                  <c:v>-0.67222811097054547</c:v>
                </c:pt>
                <c:pt idx="76">
                  <c:v>-0.66817902446308586</c:v>
                </c:pt>
                <c:pt idx="77">
                  <c:v>-0.6633987194153077</c:v>
                </c:pt>
                <c:pt idx="78">
                  <c:v>-0.6604467276975714</c:v>
                </c:pt>
                <c:pt idx="79">
                  <c:v>-0.66039396192118294</c:v>
                </c:pt>
                <c:pt idx="80">
                  <c:v>-0.65199124633002725</c:v>
                </c:pt>
                <c:pt idx="81">
                  <c:v>-0.65181879083137595</c:v>
                </c:pt>
                <c:pt idx="82">
                  <c:v>-0.64546261766747026</c:v>
                </c:pt>
                <c:pt idx="83">
                  <c:v>-0.64235327613014848</c:v>
                </c:pt>
                <c:pt idx="84">
                  <c:v>-0.64134417497518492</c:v>
                </c:pt>
                <c:pt idx="85">
                  <c:v>-0.6388303318316233</c:v>
                </c:pt>
                <c:pt idx="86">
                  <c:v>-0.63654981969842539</c:v>
                </c:pt>
                <c:pt idx="87">
                  <c:v>-0.63346969381815477</c:v>
                </c:pt>
                <c:pt idx="88">
                  <c:v>-0.63005061467934298</c:v>
                </c:pt>
                <c:pt idx="89">
                  <c:v>-0.62033775339702424</c:v>
                </c:pt>
                <c:pt idx="90">
                  <c:v>-0.61891436953217016</c:v>
                </c:pt>
                <c:pt idx="91">
                  <c:v>-0.61550411138239514</c:v>
                </c:pt>
                <c:pt idx="92">
                  <c:v>-0.60575124198580488</c:v>
                </c:pt>
                <c:pt idx="93">
                  <c:v>-0.6054117387519391</c:v>
                </c:pt>
                <c:pt idx="94">
                  <c:v>-0.6014815285853683</c:v>
                </c:pt>
                <c:pt idx="95">
                  <c:v>-0.59965345563573247</c:v>
                </c:pt>
                <c:pt idx="96">
                  <c:v>-0.5988586632604882</c:v>
                </c:pt>
                <c:pt idx="97">
                  <c:v>-0.58977843972543154</c:v>
                </c:pt>
                <c:pt idx="98">
                  <c:v>-0.58965668732368393</c:v>
                </c:pt>
                <c:pt idx="99">
                  <c:v>-0.58951821455215137</c:v>
                </c:pt>
                <c:pt idx="100">
                  <c:v>-0.58625983093548895</c:v>
                </c:pt>
                <c:pt idx="101">
                  <c:v>-0.58475033534161325</c:v>
                </c:pt>
                <c:pt idx="102">
                  <c:v>-0.57936463993869847</c:v>
                </c:pt>
                <c:pt idx="103">
                  <c:v>-0.57862977652698566</c:v>
                </c:pt>
                <c:pt idx="104">
                  <c:v>-0.57641059399417194</c:v>
                </c:pt>
                <c:pt idx="105">
                  <c:v>-0.57604312946951675</c:v>
                </c:pt>
                <c:pt idx="106">
                  <c:v>-0.5753642121396032</c:v>
                </c:pt>
                <c:pt idx="107">
                  <c:v>-0.57185740668225749</c:v>
                </c:pt>
                <c:pt idx="108">
                  <c:v>-0.56706274902198239</c:v>
                </c:pt>
                <c:pt idx="109">
                  <c:v>-0.56478942935889775</c:v>
                </c:pt>
                <c:pt idx="110">
                  <c:v>-0.56210437078924547</c:v>
                </c:pt>
                <c:pt idx="111">
                  <c:v>-0.56074770305488841</c:v>
                </c:pt>
                <c:pt idx="112">
                  <c:v>-0.55355894722698973</c:v>
                </c:pt>
                <c:pt idx="113">
                  <c:v>-0.54948906024387267</c:v>
                </c:pt>
                <c:pt idx="114">
                  <c:v>-0.54926894217270794</c:v>
                </c:pt>
                <c:pt idx="115">
                  <c:v>-0.54587439973557506</c:v>
                </c:pt>
                <c:pt idx="116">
                  <c:v>-0.54404033477587643</c:v>
                </c:pt>
                <c:pt idx="117">
                  <c:v>-0.54259893532357806</c:v>
                </c:pt>
                <c:pt idx="118">
                  <c:v>-0.53176917229243448</c:v>
                </c:pt>
                <c:pt idx="119">
                  <c:v>-0.52208082174365877</c:v>
                </c:pt>
                <c:pt idx="120">
                  <c:v>-0.51500984452762211</c:v>
                </c:pt>
                <c:pt idx="121">
                  <c:v>-0.51218009185809343</c:v>
                </c:pt>
                <c:pt idx="122">
                  <c:v>-0.50752385203867267</c:v>
                </c:pt>
                <c:pt idx="123">
                  <c:v>-0.50368466934876954</c:v>
                </c:pt>
                <c:pt idx="124">
                  <c:v>-0.49678176518310879</c:v>
                </c:pt>
                <c:pt idx="125">
                  <c:v>-0.49190110875431792</c:v>
                </c:pt>
                <c:pt idx="126">
                  <c:v>-0.46858217834215332</c:v>
                </c:pt>
                <c:pt idx="127">
                  <c:v>-0.46685691323570566</c:v>
                </c:pt>
                <c:pt idx="128">
                  <c:v>-0.46471496901481668</c:v>
                </c:pt>
                <c:pt idx="129">
                  <c:v>-0.46447916072906281</c:v>
                </c:pt>
                <c:pt idx="130">
                  <c:v>-0.46218015604968898</c:v>
                </c:pt>
                <c:pt idx="131">
                  <c:v>-0.46215887660111243</c:v>
                </c:pt>
                <c:pt idx="132">
                  <c:v>-0.45623446596919082</c:v>
                </c:pt>
                <c:pt idx="133">
                  <c:v>-0.45532480324720592</c:v>
                </c:pt>
                <c:pt idx="134">
                  <c:v>-0.45521905003713892</c:v>
                </c:pt>
                <c:pt idx="135">
                  <c:v>-0.45221506659650546</c:v>
                </c:pt>
                <c:pt idx="136">
                  <c:v>-0.44943952121628028</c:v>
                </c:pt>
                <c:pt idx="137">
                  <c:v>-0.44381287923213519</c:v>
                </c:pt>
                <c:pt idx="138">
                  <c:v>-0.44292966667758282</c:v>
                </c:pt>
                <c:pt idx="139">
                  <c:v>-0.44259147832082091</c:v>
                </c:pt>
                <c:pt idx="140">
                  <c:v>-0.44255705762845454</c:v>
                </c:pt>
                <c:pt idx="141">
                  <c:v>-0.43941688967585191</c:v>
                </c:pt>
                <c:pt idx="142">
                  <c:v>-0.43411685803292754</c:v>
                </c:pt>
                <c:pt idx="143">
                  <c:v>-0.43297452649361312</c:v>
                </c:pt>
                <c:pt idx="144">
                  <c:v>-0.43006163242962159</c:v>
                </c:pt>
                <c:pt idx="145">
                  <c:v>-0.42992447518096233</c:v>
                </c:pt>
                <c:pt idx="146">
                  <c:v>-0.4211358811806063</c:v>
                </c:pt>
                <c:pt idx="147">
                  <c:v>-0.41892876613938679</c:v>
                </c:pt>
                <c:pt idx="148">
                  <c:v>-0.41859261717684881</c:v>
                </c:pt>
                <c:pt idx="149">
                  <c:v>-0.40444642103016037</c:v>
                </c:pt>
                <c:pt idx="150">
                  <c:v>-0.40400110771977316</c:v>
                </c:pt>
                <c:pt idx="151">
                  <c:v>-0.40368202539140774</c:v>
                </c:pt>
                <c:pt idx="152">
                  <c:v>-0.39453891288814913</c:v>
                </c:pt>
                <c:pt idx="153">
                  <c:v>-0.38742509793999158</c:v>
                </c:pt>
                <c:pt idx="154">
                  <c:v>-0.38627837080065985</c:v>
                </c:pt>
                <c:pt idx="155">
                  <c:v>-0.38252796871813732</c:v>
                </c:pt>
                <c:pt idx="156">
                  <c:v>-0.36903278481418833</c:v>
                </c:pt>
                <c:pt idx="157">
                  <c:v>-0.36826040883640077</c:v>
                </c:pt>
                <c:pt idx="158">
                  <c:v>-0.36816096479850757</c:v>
                </c:pt>
                <c:pt idx="159">
                  <c:v>-0.36668735205868819</c:v>
                </c:pt>
                <c:pt idx="160">
                  <c:v>-0.35782287537172341</c:v>
                </c:pt>
                <c:pt idx="161">
                  <c:v>-0.35127723401304789</c:v>
                </c:pt>
                <c:pt idx="162">
                  <c:v>-0.3456606382220575</c:v>
                </c:pt>
                <c:pt idx="163">
                  <c:v>-0.34219918207939393</c:v>
                </c:pt>
                <c:pt idx="164">
                  <c:v>-0.34158370802583771</c:v>
                </c:pt>
                <c:pt idx="165">
                  <c:v>-0.3413814704212228</c:v>
                </c:pt>
                <c:pt idx="166">
                  <c:v>-0.33891579010483142</c:v>
                </c:pt>
                <c:pt idx="167">
                  <c:v>-0.33811482895306311</c:v>
                </c:pt>
                <c:pt idx="168">
                  <c:v>-0.33020067828733035</c:v>
                </c:pt>
                <c:pt idx="169">
                  <c:v>-0.33005323653837437</c:v>
                </c:pt>
                <c:pt idx="170">
                  <c:v>-0.32419388631484547</c:v>
                </c:pt>
                <c:pt idx="171">
                  <c:v>-0.3241461268685768</c:v>
                </c:pt>
                <c:pt idx="172">
                  <c:v>-0.32255983091968443</c:v>
                </c:pt>
                <c:pt idx="173">
                  <c:v>-0.3220156216995087</c:v>
                </c:pt>
                <c:pt idx="174">
                  <c:v>-0.31953890995282452</c:v>
                </c:pt>
                <c:pt idx="175">
                  <c:v>-0.30765345080419371</c:v>
                </c:pt>
                <c:pt idx="176">
                  <c:v>-0.30610390436110824</c:v>
                </c:pt>
                <c:pt idx="177">
                  <c:v>-0.30200358040911879</c:v>
                </c:pt>
                <c:pt idx="178">
                  <c:v>-0.29597575736612813</c:v>
                </c:pt>
                <c:pt idx="179">
                  <c:v>-0.29532017863541093</c:v>
                </c:pt>
                <c:pt idx="180">
                  <c:v>-0.29502732973033563</c:v>
                </c:pt>
                <c:pt idx="181">
                  <c:v>-0.29420239520188263</c:v>
                </c:pt>
                <c:pt idx="182">
                  <c:v>-0.2899873559530004</c:v>
                </c:pt>
                <c:pt idx="183">
                  <c:v>-0.28912120951840992</c:v>
                </c:pt>
                <c:pt idx="184">
                  <c:v>-0.2868636791718393</c:v>
                </c:pt>
                <c:pt idx="185">
                  <c:v>-0.2777188273303044</c:v>
                </c:pt>
                <c:pt idx="186">
                  <c:v>-0.26298414402517101</c:v>
                </c:pt>
                <c:pt idx="187">
                  <c:v>-0.25258275020520071</c:v>
                </c:pt>
                <c:pt idx="188">
                  <c:v>-0.25236151769494386</c:v>
                </c:pt>
                <c:pt idx="189">
                  <c:v>-0.24840836269185473</c:v>
                </c:pt>
                <c:pt idx="190">
                  <c:v>-0.24606972013899719</c:v>
                </c:pt>
                <c:pt idx="191">
                  <c:v>-0.23918559160278896</c:v>
                </c:pt>
                <c:pt idx="192">
                  <c:v>-0.23323573792104102</c:v>
                </c:pt>
                <c:pt idx="193">
                  <c:v>-0.22237039391923319</c:v>
                </c:pt>
                <c:pt idx="194">
                  <c:v>-0.20893733243369073</c:v>
                </c:pt>
                <c:pt idx="195">
                  <c:v>-0.20503882076964164</c:v>
                </c:pt>
                <c:pt idx="196">
                  <c:v>-0.2043550376134331</c:v>
                </c:pt>
                <c:pt idx="197">
                  <c:v>-0.19768147668265046</c:v>
                </c:pt>
                <c:pt idx="198">
                  <c:v>-0.19140455010747282</c:v>
                </c:pt>
                <c:pt idx="199">
                  <c:v>-0.16968099447226193</c:v>
                </c:pt>
                <c:pt idx="200">
                  <c:v>-0.16964537347731756</c:v>
                </c:pt>
                <c:pt idx="201">
                  <c:v>-0.16879703965534687</c:v>
                </c:pt>
                <c:pt idx="202">
                  <c:v>-0.16826784219246749</c:v>
                </c:pt>
                <c:pt idx="203">
                  <c:v>-0.16677154074264711</c:v>
                </c:pt>
                <c:pt idx="204">
                  <c:v>-0.15459081945994479</c:v>
                </c:pt>
                <c:pt idx="205">
                  <c:v>-0.15212411736816289</c:v>
                </c:pt>
                <c:pt idx="206">
                  <c:v>-0.14777324559892802</c:v>
                </c:pt>
                <c:pt idx="207">
                  <c:v>-0.14504451462985291</c:v>
                </c:pt>
                <c:pt idx="208">
                  <c:v>-0.14354649476982373</c:v>
                </c:pt>
                <c:pt idx="209">
                  <c:v>-0.14158624510697493</c:v>
                </c:pt>
                <c:pt idx="210">
                  <c:v>-0.13778998766004347</c:v>
                </c:pt>
                <c:pt idx="211">
                  <c:v>-0.13598788358178493</c:v>
                </c:pt>
                <c:pt idx="212">
                  <c:v>-0.12924983375345289</c:v>
                </c:pt>
                <c:pt idx="213">
                  <c:v>-0.12804653068213034</c:v>
                </c:pt>
                <c:pt idx="214">
                  <c:v>-0.12691245570248544</c:v>
                </c:pt>
                <c:pt idx="215">
                  <c:v>-0.11432387402841848</c:v>
                </c:pt>
                <c:pt idx="216">
                  <c:v>-0.10871292885710382</c:v>
                </c:pt>
                <c:pt idx="217">
                  <c:v>-0.10733784815505154</c:v>
                </c:pt>
                <c:pt idx="218">
                  <c:v>-0.10477972003930125</c:v>
                </c:pt>
                <c:pt idx="219">
                  <c:v>-0.10356566754414986</c:v>
                </c:pt>
                <c:pt idx="220">
                  <c:v>-0.10338175015586781</c:v>
                </c:pt>
                <c:pt idx="221">
                  <c:v>-0.10049017366295132</c:v>
                </c:pt>
                <c:pt idx="222">
                  <c:v>-0.10019933003928072</c:v>
                </c:pt>
                <c:pt idx="223">
                  <c:v>-9.9578929710305797E-2</c:v>
                </c:pt>
                <c:pt idx="224">
                  <c:v>-9.9365905805647525E-2</c:v>
                </c:pt>
                <c:pt idx="225">
                  <c:v>-9.9165445221565118E-2</c:v>
                </c:pt>
                <c:pt idx="226">
                  <c:v>-9.8666171970792638E-2</c:v>
                </c:pt>
                <c:pt idx="227">
                  <c:v>-9.5415827575423995E-2</c:v>
                </c:pt>
                <c:pt idx="228">
                  <c:v>-9.5270402698784062E-2</c:v>
                </c:pt>
                <c:pt idx="229">
                  <c:v>-9.3221904931196864E-2</c:v>
                </c:pt>
                <c:pt idx="230">
                  <c:v>-9.0322522491713908E-2</c:v>
                </c:pt>
                <c:pt idx="231">
                  <c:v>-9.029723272079071E-2</c:v>
                </c:pt>
                <c:pt idx="232">
                  <c:v>-8.9725010003494754E-2</c:v>
                </c:pt>
                <c:pt idx="233">
                  <c:v>-8.7888656371934104E-2</c:v>
                </c:pt>
                <c:pt idx="234">
                  <c:v>-8.2724858708177695E-2</c:v>
                </c:pt>
                <c:pt idx="235">
                  <c:v>-8.0546062438083821E-2</c:v>
                </c:pt>
                <c:pt idx="236">
                  <c:v>-7.9333318239207751E-2</c:v>
                </c:pt>
                <c:pt idx="237">
                  <c:v>-7.6678320437527203E-2</c:v>
                </c:pt>
                <c:pt idx="238">
                  <c:v>-7.6277595032764323E-2</c:v>
                </c:pt>
                <c:pt idx="239">
                  <c:v>-7.5677740833442586E-2</c:v>
                </c:pt>
                <c:pt idx="240">
                  <c:v>-6.5789720917920569E-2</c:v>
                </c:pt>
                <c:pt idx="241">
                  <c:v>-4.403041632927418E-2</c:v>
                </c:pt>
                <c:pt idx="242">
                  <c:v>-4.0769792723178933E-2</c:v>
                </c:pt>
                <c:pt idx="243">
                  <c:v>-3.5641576196199454E-2</c:v>
                </c:pt>
                <c:pt idx="244">
                  <c:v>-3.3580272771466024E-2</c:v>
                </c:pt>
                <c:pt idx="245">
                  <c:v>-3.184943656219863E-2</c:v>
                </c:pt>
                <c:pt idx="246">
                  <c:v>-2.9297319167828739E-2</c:v>
                </c:pt>
                <c:pt idx="247">
                  <c:v>-2.6980783362191119E-2</c:v>
                </c:pt>
                <c:pt idx="248">
                  <c:v>-2.5717025410268546E-2</c:v>
                </c:pt>
                <c:pt idx="249">
                  <c:v>-1.8236700379650417E-2</c:v>
                </c:pt>
                <c:pt idx="250">
                  <c:v>-1.1991828147545514E-2</c:v>
                </c:pt>
                <c:pt idx="251">
                  <c:v>-1.0308601796264805E-2</c:v>
                </c:pt>
                <c:pt idx="252">
                  <c:v>-8.8076608031051329E-3</c:v>
                </c:pt>
                <c:pt idx="253">
                  <c:v>-8.0563084711735566E-3</c:v>
                </c:pt>
                <c:pt idx="254">
                  <c:v>-7.1135327721605357E-3</c:v>
                </c:pt>
                <c:pt idx="255">
                  <c:v>-6.16873810924079E-3</c:v>
                </c:pt>
                <c:pt idx="256">
                  <c:v>-1.9592168294897405E-3</c:v>
                </c:pt>
                <c:pt idx="257">
                  <c:v>-1.9318997975790175E-3</c:v>
                </c:pt>
                <c:pt idx="258">
                  <c:v>-1.5889088159604103E-3</c:v>
                </c:pt>
                <c:pt idx="259">
                  <c:v>5.096568500339238E-3</c:v>
                </c:pt>
                <c:pt idx="260">
                  <c:v>1.6351115619617218E-2</c:v>
                </c:pt>
                <c:pt idx="261">
                  <c:v>2.4033175380148153E-2</c:v>
                </c:pt>
                <c:pt idx="262">
                  <c:v>3.0651867087243101E-2</c:v>
                </c:pt>
                <c:pt idx="263">
                  <c:v>3.5715915435003742E-2</c:v>
                </c:pt>
                <c:pt idx="264">
                  <c:v>3.961883086589868E-2</c:v>
                </c:pt>
                <c:pt idx="265">
                  <c:v>4.2494213167260098E-2</c:v>
                </c:pt>
                <c:pt idx="266">
                  <c:v>4.581782150550584E-2</c:v>
                </c:pt>
                <c:pt idx="267">
                  <c:v>4.8243745886441758E-2</c:v>
                </c:pt>
                <c:pt idx="268">
                  <c:v>5.2306602677872904E-2</c:v>
                </c:pt>
                <c:pt idx="269">
                  <c:v>5.6503279025554187E-2</c:v>
                </c:pt>
                <c:pt idx="270">
                  <c:v>5.6726395493103432E-2</c:v>
                </c:pt>
                <c:pt idx="271">
                  <c:v>6.0000908353359472E-2</c:v>
                </c:pt>
                <c:pt idx="272">
                  <c:v>6.8213303070381981E-2</c:v>
                </c:pt>
                <c:pt idx="273">
                  <c:v>7.999677505432401E-2</c:v>
                </c:pt>
                <c:pt idx="274">
                  <c:v>8.4101843442850432E-2</c:v>
                </c:pt>
                <c:pt idx="275">
                  <c:v>8.9273692900438295E-2</c:v>
                </c:pt>
                <c:pt idx="276">
                  <c:v>9.2058430636928534E-2</c:v>
                </c:pt>
                <c:pt idx="277">
                  <c:v>9.605396032013358E-2</c:v>
                </c:pt>
                <c:pt idx="278">
                  <c:v>9.874813130667448E-2</c:v>
                </c:pt>
                <c:pt idx="279">
                  <c:v>0.10446459012351861</c:v>
                </c:pt>
                <c:pt idx="280">
                  <c:v>0.105281485798151</c:v>
                </c:pt>
                <c:pt idx="281">
                  <c:v>0.10646910780898233</c:v>
                </c:pt>
                <c:pt idx="282">
                  <c:v>0.10896012383022091</c:v>
                </c:pt>
                <c:pt idx="283">
                  <c:v>0.1091379661461267</c:v>
                </c:pt>
                <c:pt idx="284">
                  <c:v>0.10956323516055022</c:v>
                </c:pt>
                <c:pt idx="285">
                  <c:v>0.12262598533872171</c:v>
                </c:pt>
                <c:pt idx="286">
                  <c:v>0.12357934106355262</c:v>
                </c:pt>
                <c:pt idx="287">
                  <c:v>0.12960259612166647</c:v>
                </c:pt>
                <c:pt idx="288">
                  <c:v>0.13056101291316113</c:v>
                </c:pt>
                <c:pt idx="289">
                  <c:v>0.13478465154893637</c:v>
                </c:pt>
                <c:pt idx="290">
                  <c:v>0.14425460448245597</c:v>
                </c:pt>
                <c:pt idx="291">
                  <c:v>0.14428148514719341</c:v>
                </c:pt>
                <c:pt idx="292">
                  <c:v>0.14507963805066049</c:v>
                </c:pt>
                <c:pt idx="293">
                  <c:v>0.15546061536158717</c:v>
                </c:pt>
                <c:pt idx="294">
                  <c:v>0.15845346192160092</c:v>
                </c:pt>
                <c:pt idx="295">
                  <c:v>0.16594726351440414</c:v>
                </c:pt>
                <c:pt idx="296">
                  <c:v>0.16626983902972725</c:v>
                </c:pt>
                <c:pt idx="297">
                  <c:v>0.16842223794069366</c:v>
                </c:pt>
                <c:pt idx="298">
                  <c:v>0.17126579517697693</c:v>
                </c:pt>
                <c:pt idx="299">
                  <c:v>0.17663545437829886</c:v>
                </c:pt>
                <c:pt idx="300">
                  <c:v>0.17773656250660808</c:v>
                </c:pt>
                <c:pt idx="301">
                  <c:v>0.17820434005089636</c:v>
                </c:pt>
                <c:pt idx="302">
                  <c:v>0.19007871963265921</c:v>
                </c:pt>
                <c:pt idx="303">
                  <c:v>0.19335472428726308</c:v>
                </c:pt>
                <c:pt idx="304">
                  <c:v>0.19821300903640382</c:v>
                </c:pt>
                <c:pt idx="305">
                  <c:v>0.20017376211868454</c:v>
                </c:pt>
                <c:pt idx="306">
                  <c:v>0.20149770839516101</c:v>
                </c:pt>
                <c:pt idx="307">
                  <c:v>0.20296834178736245</c:v>
                </c:pt>
                <c:pt idx="308">
                  <c:v>0.20410275872597849</c:v>
                </c:pt>
                <c:pt idx="309">
                  <c:v>0.21416359564429444</c:v>
                </c:pt>
                <c:pt idx="310">
                  <c:v>0.2177899466197093</c:v>
                </c:pt>
                <c:pt idx="311">
                  <c:v>0.21960003919754989</c:v>
                </c:pt>
                <c:pt idx="312">
                  <c:v>0.22493224017262547</c:v>
                </c:pt>
                <c:pt idx="313">
                  <c:v>0.23131200710273436</c:v>
                </c:pt>
                <c:pt idx="314">
                  <c:v>0.24681646933010826</c:v>
                </c:pt>
                <c:pt idx="315">
                  <c:v>0.25584397346456278</c:v>
                </c:pt>
                <c:pt idx="316">
                  <c:v>0.2604487835601017</c:v>
                </c:pt>
                <c:pt idx="317">
                  <c:v>0.26238300222997357</c:v>
                </c:pt>
                <c:pt idx="318">
                  <c:v>0.26459036080682474</c:v>
                </c:pt>
                <c:pt idx="319">
                  <c:v>0.26942033541585708</c:v>
                </c:pt>
                <c:pt idx="320">
                  <c:v>0.27531624934626397</c:v>
                </c:pt>
                <c:pt idx="321">
                  <c:v>0.27740407554636248</c:v>
                </c:pt>
                <c:pt idx="322">
                  <c:v>0.27890426620415298</c:v>
                </c:pt>
                <c:pt idx="323">
                  <c:v>0.27938001398692447</c:v>
                </c:pt>
                <c:pt idx="324">
                  <c:v>0.2841785590726067</c:v>
                </c:pt>
                <c:pt idx="325">
                  <c:v>0.28508511801291747</c:v>
                </c:pt>
                <c:pt idx="326">
                  <c:v>0.2856983927020722</c:v>
                </c:pt>
                <c:pt idx="327">
                  <c:v>0.28941484952860574</c:v>
                </c:pt>
                <c:pt idx="328">
                  <c:v>0.29676009085199784</c:v>
                </c:pt>
                <c:pt idx="329">
                  <c:v>0.30392968561399147</c:v>
                </c:pt>
                <c:pt idx="330">
                  <c:v>0.30472526103078335</c:v>
                </c:pt>
                <c:pt idx="331">
                  <c:v>0.30482938716376795</c:v>
                </c:pt>
                <c:pt idx="332">
                  <c:v>0.3054499353391158</c:v>
                </c:pt>
                <c:pt idx="333">
                  <c:v>0.31105906082138612</c:v>
                </c:pt>
                <c:pt idx="334">
                  <c:v>0.3126429389452392</c:v>
                </c:pt>
                <c:pt idx="335">
                  <c:v>0.31362756381816648</c:v>
                </c:pt>
                <c:pt idx="336">
                  <c:v>0.31933151892462819</c:v>
                </c:pt>
                <c:pt idx="337">
                  <c:v>0.32562059763942086</c:v>
                </c:pt>
                <c:pt idx="338">
                  <c:v>0.32991674218500644</c:v>
                </c:pt>
                <c:pt idx="339">
                  <c:v>0.33860151839900077</c:v>
                </c:pt>
                <c:pt idx="340">
                  <c:v>0.3449119226318158</c:v>
                </c:pt>
                <c:pt idx="341">
                  <c:v>0.35225865052387406</c:v>
                </c:pt>
                <c:pt idx="342">
                  <c:v>0.35366811638638618</c:v>
                </c:pt>
                <c:pt idx="343">
                  <c:v>0.35631870937487142</c:v>
                </c:pt>
                <c:pt idx="344">
                  <c:v>0.36102021486553237</c:v>
                </c:pt>
                <c:pt idx="345">
                  <c:v>0.36789250668272988</c:v>
                </c:pt>
                <c:pt idx="346">
                  <c:v>0.37690016775992019</c:v>
                </c:pt>
                <c:pt idx="347">
                  <c:v>0.38095057346528582</c:v>
                </c:pt>
                <c:pt idx="348">
                  <c:v>0.38518371909666715</c:v>
                </c:pt>
                <c:pt idx="349">
                  <c:v>0.38855390128338119</c:v>
                </c:pt>
                <c:pt idx="350">
                  <c:v>0.3943767869942123</c:v>
                </c:pt>
                <c:pt idx="351">
                  <c:v>0.3984989390542264</c:v>
                </c:pt>
                <c:pt idx="352">
                  <c:v>0.39963436571418476</c:v>
                </c:pt>
                <c:pt idx="353">
                  <c:v>0.39985308854880852</c:v>
                </c:pt>
                <c:pt idx="354">
                  <c:v>0.4001457591109896</c:v>
                </c:pt>
                <c:pt idx="355">
                  <c:v>0.40053378616590796</c:v>
                </c:pt>
                <c:pt idx="356">
                  <c:v>0.40087815855451359</c:v>
                </c:pt>
                <c:pt idx="357">
                  <c:v>0.40497364439729466</c:v>
                </c:pt>
                <c:pt idx="358">
                  <c:v>0.40538415559204277</c:v>
                </c:pt>
                <c:pt idx="359">
                  <c:v>0.41106284376938151</c:v>
                </c:pt>
                <c:pt idx="360">
                  <c:v>0.41143817407963756</c:v>
                </c:pt>
                <c:pt idx="361">
                  <c:v>0.41344747562895834</c:v>
                </c:pt>
                <c:pt idx="362">
                  <c:v>0.41559735081650273</c:v>
                </c:pt>
                <c:pt idx="363">
                  <c:v>0.41594290473140383</c:v>
                </c:pt>
                <c:pt idx="364">
                  <c:v>0.4171780915975698</c:v>
                </c:pt>
                <c:pt idx="365">
                  <c:v>0.41899226852993454</c:v>
                </c:pt>
                <c:pt idx="366">
                  <c:v>0.42006774509120959</c:v>
                </c:pt>
                <c:pt idx="367">
                  <c:v>0.42324953337988425</c:v>
                </c:pt>
                <c:pt idx="368">
                  <c:v>0.42379839802121388</c:v>
                </c:pt>
                <c:pt idx="369">
                  <c:v>0.42413373952771338</c:v>
                </c:pt>
                <c:pt idx="370">
                  <c:v>0.42864354576378849</c:v>
                </c:pt>
                <c:pt idx="371">
                  <c:v>0.43191066679124934</c:v>
                </c:pt>
                <c:pt idx="372">
                  <c:v>0.43624705301026645</c:v>
                </c:pt>
                <c:pt idx="373">
                  <c:v>0.43652114145597531</c:v>
                </c:pt>
                <c:pt idx="374">
                  <c:v>0.44548957469626838</c:v>
                </c:pt>
                <c:pt idx="375">
                  <c:v>0.44639217177081747</c:v>
                </c:pt>
                <c:pt idx="376">
                  <c:v>0.45561269587468711</c:v>
                </c:pt>
                <c:pt idx="377">
                  <c:v>0.45567446963747282</c:v>
                </c:pt>
                <c:pt idx="378">
                  <c:v>0.46507024000040031</c:v>
                </c:pt>
                <c:pt idx="379">
                  <c:v>0.46822930485197833</c:v>
                </c:pt>
                <c:pt idx="380">
                  <c:v>0.47311977283555651</c:v>
                </c:pt>
                <c:pt idx="381">
                  <c:v>0.47404182169053422</c:v>
                </c:pt>
                <c:pt idx="382">
                  <c:v>0.48053601252526157</c:v>
                </c:pt>
                <c:pt idx="383">
                  <c:v>0.48247508429068553</c:v>
                </c:pt>
                <c:pt idx="384">
                  <c:v>0.4875916666747655</c:v>
                </c:pt>
                <c:pt idx="385">
                  <c:v>0.48866140858753004</c:v>
                </c:pt>
                <c:pt idx="386">
                  <c:v>0.49447450722193631</c:v>
                </c:pt>
                <c:pt idx="387">
                  <c:v>0.49819408964484246</c:v>
                </c:pt>
                <c:pt idx="388">
                  <c:v>0.50096197711386048</c:v>
                </c:pt>
                <c:pt idx="389">
                  <c:v>0.50185715751374427</c:v>
                </c:pt>
                <c:pt idx="390">
                  <c:v>0.51032928821294377</c:v>
                </c:pt>
                <c:pt idx="391">
                  <c:v>0.51922080571354634</c:v>
                </c:pt>
                <c:pt idx="392">
                  <c:v>0.52225653490066892</c:v>
                </c:pt>
                <c:pt idx="393">
                  <c:v>0.5224245126118312</c:v>
                </c:pt>
                <c:pt idx="394">
                  <c:v>0.52546123823654844</c:v>
                </c:pt>
                <c:pt idx="395">
                  <c:v>0.53383105284190879</c:v>
                </c:pt>
                <c:pt idx="396">
                  <c:v>0.53713451251334843</c:v>
                </c:pt>
                <c:pt idx="397">
                  <c:v>0.53845921683900411</c:v>
                </c:pt>
                <c:pt idx="398">
                  <c:v>0.54751622016883483</c:v>
                </c:pt>
                <c:pt idx="399">
                  <c:v>0.55112210099525516</c:v>
                </c:pt>
                <c:pt idx="400">
                  <c:v>0.56428207499401473</c:v>
                </c:pt>
                <c:pt idx="401">
                  <c:v>0.56560109106349654</c:v>
                </c:pt>
                <c:pt idx="402">
                  <c:v>0.56847270854909882</c:v>
                </c:pt>
                <c:pt idx="403">
                  <c:v>0.56902952746162794</c:v>
                </c:pt>
                <c:pt idx="404">
                  <c:v>0.57284823209129376</c:v>
                </c:pt>
                <c:pt idx="405">
                  <c:v>0.57301397370959517</c:v>
                </c:pt>
                <c:pt idx="406">
                  <c:v>0.57536616401202401</c:v>
                </c:pt>
                <c:pt idx="407">
                  <c:v>0.57901701410609974</c:v>
                </c:pt>
                <c:pt idx="408">
                  <c:v>0.58121162097704038</c:v>
                </c:pt>
                <c:pt idx="409">
                  <c:v>0.58146680738898837</c:v>
                </c:pt>
                <c:pt idx="410">
                  <c:v>0.59181502940724573</c:v>
                </c:pt>
                <c:pt idx="411">
                  <c:v>0.59212360201031533</c:v>
                </c:pt>
                <c:pt idx="412">
                  <c:v>0.59852272941124074</c:v>
                </c:pt>
                <c:pt idx="413">
                  <c:v>0.6225213230705704</c:v>
                </c:pt>
                <c:pt idx="414">
                  <c:v>0.62325590660328722</c:v>
                </c:pt>
                <c:pt idx="415">
                  <c:v>0.62547439468750121</c:v>
                </c:pt>
                <c:pt idx="416">
                  <c:v>0.64031319742721582</c:v>
                </c:pt>
                <c:pt idx="417">
                  <c:v>0.64708376421736347</c:v>
                </c:pt>
                <c:pt idx="418">
                  <c:v>0.65523358098070816</c:v>
                </c:pt>
                <c:pt idx="419">
                  <c:v>0.65580637647983053</c:v>
                </c:pt>
                <c:pt idx="420">
                  <c:v>0.66290413953856442</c:v>
                </c:pt>
                <c:pt idx="421">
                  <c:v>0.66593246857349286</c:v>
                </c:pt>
                <c:pt idx="422">
                  <c:v>0.6843632574204197</c:v>
                </c:pt>
                <c:pt idx="423">
                  <c:v>0.68880155061736859</c:v>
                </c:pt>
                <c:pt idx="424">
                  <c:v>0.68969504749298927</c:v>
                </c:pt>
                <c:pt idx="425">
                  <c:v>0.69101889557314289</c:v>
                </c:pt>
                <c:pt idx="426">
                  <c:v>0.70431965978802835</c:v>
                </c:pt>
                <c:pt idx="427">
                  <c:v>0.70506759712568812</c:v>
                </c:pt>
                <c:pt idx="428">
                  <c:v>0.70912208999597826</c:v>
                </c:pt>
                <c:pt idx="429">
                  <c:v>0.71118400118181913</c:v>
                </c:pt>
                <c:pt idx="430">
                  <c:v>0.71331548482144402</c:v>
                </c:pt>
                <c:pt idx="431">
                  <c:v>0.7139885112845219</c:v>
                </c:pt>
                <c:pt idx="432">
                  <c:v>0.71644222517241207</c:v>
                </c:pt>
                <c:pt idx="433">
                  <c:v>0.72020423114995147</c:v>
                </c:pt>
                <c:pt idx="434">
                  <c:v>0.72836553572387275</c:v>
                </c:pt>
                <c:pt idx="435">
                  <c:v>0.73232591183881102</c:v>
                </c:pt>
                <c:pt idx="436">
                  <c:v>0.73338959720448149</c:v>
                </c:pt>
                <c:pt idx="437">
                  <c:v>0.73763449882191456</c:v>
                </c:pt>
                <c:pt idx="438">
                  <c:v>0.7521887108340668</c:v>
                </c:pt>
                <c:pt idx="439">
                  <c:v>0.75485499665156652</c:v>
                </c:pt>
                <c:pt idx="440">
                  <c:v>0.75845707121856143</c:v>
                </c:pt>
                <c:pt idx="441">
                  <c:v>0.75857508797715134</c:v>
                </c:pt>
                <c:pt idx="442">
                  <c:v>0.76311403797547639</c:v>
                </c:pt>
                <c:pt idx="443">
                  <c:v>0.76529889911050075</c:v>
                </c:pt>
                <c:pt idx="444">
                  <c:v>0.76726477289307904</c:v>
                </c:pt>
                <c:pt idx="445">
                  <c:v>0.77237145626792891</c:v>
                </c:pt>
                <c:pt idx="446">
                  <c:v>0.77566549428490905</c:v>
                </c:pt>
                <c:pt idx="447">
                  <c:v>0.78654306515559003</c:v>
                </c:pt>
                <c:pt idx="448">
                  <c:v>0.78820851157762628</c:v>
                </c:pt>
                <c:pt idx="449">
                  <c:v>0.80156635078397631</c:v>
                </c:pt>
                <c:pt idx="450">
                  <c:v>0.80177091359399988</c:v>
                </c:pt>
                <c:pt idx="451">
                  <c:v>0.80640333201748016</c:v>
                </c:pt>
                <c:pt idx="452">
                  <c:v>0.80679396746290544</c:v>
                </c:pt>
                <c:pt idx="453">
                  <c:v>0.8078504491769174</c:v>
                </c:pt>
                <c:pt idx="454">
                  <c:v>0.81234726897357001</c:v>
                </c:pt>
                <c:pt idx="455">
                  <c:v>0.81240989501376726</c:v>
                </c:pt>
                <c:pt idx="456">
                  <c:v>0.81975611466360121</c:v>
                </c:pt>
                <c:pt idx="457">
                  <c:v>0.82156532585932629</c:v>
                </c:pt>
                <c:pt idx="458">
                  <c:v>0.82422935280790721</c:v>
                </c:pt>
                <c:pt idx="459">
                  <c:v>0.82461931942006772</c:v>
                </c:pt>
                <c:pt idx="460">
                  <c:v>0.82524761317827688</c:v>
                </c:pt>
                <c:pt idx="461">
                  <c:v>0.84996856278064437</c:v>
                </c:pt>
                <c:pt idx="462">
                  <c:v>0.85876583922885175</c:v>
                </c:pt>
                <c:pt idx="463">
                  <c:v>0.86192118286878006</c:v>
                </c:pt>
                <c:pt idx="464">
                  <c:v>0.86526701689152197</c:v>
                </c:pt>
                <c:pt idx="465">
                  <c:v>0.86646057759272588</c:v>
                </c:pt>
                <c:pt idx="466">
                  <c:v>0.86736821677069043</c:v>
                </c:pt>
                <c:pt idx="467">
                  <c:v>0.87071353596203505</c:v>
                </c:pt>
                <c:pt idx="468">
                  <c:v>0.87191227231929713</c:v>
                </c:pt>
                <c:pt idx="469">
                  <c:v>0.87762800893390525</c:v>
                </c:pt>
                <c:pt idx="470">
                  <c:v>0.87767993536837086</c:v>
                </c:pt>
                <c:pt idx="471">
                  <c:v>0.87994902286469068</c:v>
                </c:pt>
                <c:pt idx="472">
                  <c:v>0.88136814014125475</c:v>
                </c:pt>
                <c:pt idx="473">
                  <c:v>0.88138017463922158</c:v>
                </c:pt>
                <c:pt idx="474">
                  <c:v>0.88317556368991323</c:v>
                </c:pt>
                <c:pt idx="475">
                  <c:v>0.8875152526955814</c:v>
                </c:pt>
                <c:pt idx="476">
                  <c:v>0.88954740907501195</c:v>
                </c:pt>
                <c:pt idx="477">
                  <c:v>0.89349265784436693</c:v>
                </c:pt>
                <c:pt idx="478">
                  <c:v>0.89463023852366397</c:v>
                </c:pt>
                <c:pt idx="479">
                  <c:v>0.89847269348797187</c:v>
                </c:pt>
                <c:pt idx="480">
                  <c:v>0.90152957998348349</c:v>
                </c:pt>
                <c:pt idx="481">
                  <c:v>0.90399671530922943</c:v>
                </c:pt>
                <c:pt idx="482">
                  <c:v>0.90669787895406473</c:v>
                </c:pt>
                <c:pt idx="483">
                  <c:v>0.9072644580258975</c:v>
                </c:pt>
                <c:pt idx="484">
                  <c:v>0.90805376086807343</c:v>
                </c:pt>
                <c:pt idx="485">
                  <c:v>0.90896408191004041</c:v>
                </c:pt>
                <c:pt idx="486">
                  <c:v>0.90977800713774815</c:v>
                </c:pt>
                <c:pt idx="487">
                  <c:v>0.91020463883465252</c:v>
                </c:pt>
                <c:pt idx="488">
                  <c:v>0.91193214326818084</c:v>
                </c:pt>
                <c:pt idx="489">
                  <c:v>0.92364025585072307</c:v>
                </c:pt>
                <c:pt idx="490">
                  <c:v>0.92967719639312296</c:v>
                </c:pt>
                <c:pt idx="491">
                  <c:v>0.93179024597484306</c:v>
                </c:pt>
                <c:pt idx="492">
                  <c:v>0.93435889334923594</c:v>
                </c:pt>
                <c:pt idx="493">
                  <c:v>0.94287322031354903</c:v>
                </c:pt>
                <c:pt idx="494">
                  <c:v>0.94929933181312598</c:v>
                </c:pt>
                <c:pt idx="495">
                  <c:v>0.96591990619860479</c:v>
                </c:pt>
                <c:pt idx="496">
                  <c:v>0.97510374736191108</c:v>
                </c:pt>
                <c:pt idx="497">
                  <c:v>0.9830265698316103</c:v>
                </c:pt>
                <c:pt idx="498">
                  <c:v>0.98914940312263888</c:v>
                </c:pt>
                <c:pt idx="499">
                  <c:v>0.99358354390211145</c:v>
                </c:pt>
                <c:pt idx="500">
                  <c:v>0.99385439534751252</c:v>
                </c:pt>
              </c:numCache>
            </c:numRef>
          </c:xVal>
          <c:yVal>
            <c:numRef>
              <c:f>'test function'!$P$7:$P$507</c:f>
              <c:numCache>
                <c:formatCode>0.000</c:formatCode>
                <c:ptCount val="501"/>
                <c:pt idx="0">
                  <c:v>-0.21811307082338294</c:v>
                </c:pt>
                <c:pt idx="1">
                  <c:v>-0.21794530989517624</c:v>
                </c:pt>
                <c:pt idx="2">
                  <c:v>-0.18772652852129812</c:v>
                </c:pt>
                <c:pt idx="3">
                  <c:v>-0.15045548410265164</c:v>
                </c:pt>
                <c:pt idx="4">
                  <c:v>-0.11254972826268461</c:v>
                </c:pt>
                <c:pt idx="5">
                  <c:v>-6.8939085299715375E-2</c:v>
                </c:pt>
                <c:pt idx="6">
                  <c:v>-4.5758533599847384E-2</c:v>
                </c:pt>
                <c:pt idx="7">
                  <c:v>4.9127656190955937E-3</c:v>
                </c:pt>
                <c:pt idx="8">
                  <c:v>5.1410603878525529E-2</c:v>
                </c:pt>
                <c:pt idx="9">
                  <c:v>0.13465351803204018</c:v>
                </c:pt>
                <c:pt idx="10">
                  <c:v>0.26628737865338081</c:v>
                </c:pt>
                <c:pt idx="11">
                  <c:v>0.37253126634545358</c:v>
                </c:pt>
                <c:pt idx="12">
                  <c:v>0.39764823624233386</c:v>
                </c:pt>
                <c:pt idx="13">
                  <c:v>0.43850919457360066</c:v>
                </c:pt>
                <c:pt idx="14">
                  <c:v>0.46856249167751163</c:v>
                </c:pt>
                <c:pt idx="15">
                  <c:v>0.52138326010907632</c:v>
                </c:pt>
                <c:pt idx="16">
                  <c:v>0.52378808015472578</c:v>
                </c:pt>
                <c:pt idx="17">
                  <c:v>0.53208716259068323</c:v>
                </c:pt>
                <c:pt idx="18">
                  <c:v>0.54818819816051878</c:v>
                </c:pt>
                <c:pt idx="19">
                  <c:v>0.56576237681408059</c:v>
                </c:pt>
                <c:pt idx="20">
                  <c:v>0.68380576190229103</c:v>
                </c:pt>
                <c:pt idx="21">
                  <c:v>0.69346955309120495</c:v>
                </c:pt>
                <c:pt idx="22">
                  <c:v>0.73131823146527863</c:v>
                </c:pt>
                <c:pt idx="23">
                  <c:v>0.7947113699352456</c:v>
                </c:pt>
                <c:pt idx="24">
                  <c:v>0.83245452890329008</c:v>
                </c:pt>
                <c:pt idx="25">
                  <c:v>1.0280153260022653</c:v>
                </c:pt>
                <c:pt idx="26">
                  <c:v>1.0738725146831967</c:v>
                </c:pt>
                <c:pt idx="27">
                  <c:v>1.0900229840100804</c:v>
                </c:pt>
                <c:pt idx="28">
                  <c:v>1.1465913532155791</c:v>
                </c:pt>
                <c:pt idx="29">
                  <c:v>1.2117645252303817</c:v>
                </c:pt>
                <c:pt idx="30">
                  <c:v>1.2852189958661817</c:v>
                </c:pt>
                <c:pt idx="31">
                  <c:v>1.2987412219867438</c:v>
                </c:pt>
                <c:pt idx="32">
                  <c:v>1.342486809610314</c:v>
                </c:pt>
                <c:pt idx="33">
                  <c:v>1.3442828842053678</c:v>
                </c:pt>
                <c:pt idx="34">
                  <c:v>1.3493151010971398</c:v>
                </c:pt>
                <c:pt idx="35">
                  <c:v>1.4721763312004632</c:v>
                </c:pt>
                <c:pt idx="36">
                  <c:v>1.5337305712549034</c:v>
                </c:pt>
                <c:pt idx="37">
                  <c:v>1.5379564981932701</c:v>
                </c:pt>
                <c:pt idx="38">
                  <c:v>1.5484920136497005</c:v>
                </c:pt>
                <c:pt idx="39">
                  <c:v>1.5728382324955217</c:v>
                </c:pt>
                <c:pt idx="40">
                  <c:v>1.5923858547313874</c:v>
                </c:pt>
                <c:pt idx="41">
                  <c:v>1.6281553063183132</c:v>
                </c:pt>
                <c:pt idx="42">
                  <c:v>1.6773784151537741</c:v>
                </c:pt>
                <c:pt idx="43">
                  <c:v>1.6962990070985857</c:v>
                </c:pt>
                <c:pt idx="44">
                  <c:v>1.7351673630654718</c:v>
                </c:pt>
                <c:pt idx="45">
                  <c:v>1.7357427526486704</c:v>
                </c:pt>
                <c:pt idx="46">
                  <c:v>1.7538596714039449</c:v>
                </c:pt>
                <c:pt idx="47">
                  <c:v>1.7652008641944705</c:v>
                </c:pt>
                <c:pt idx="48">
                  <c:v>1.8059095509259315</c:v>
                </c:pt>
                <c:pt idx="49">
                  <c:v>1.8285168553409226</c:v>
                </c:pt>
                <c:pt idx="50">
                  <c:v>1.831431799131936</c:v>
                </c:pt>
                <c:pt idx="51">
                  <c:v>1.871338969627518</c:v>
                </c:pt>
                <c:pt idx="52">
                  <c:v>1.8737310666114941</c:v>
                </c:pt>
                <c:pt idx="53">
                  <c:v>1.8812307109334885</c:v>
                </c:pt>
                <c:pt idx="54">
                  <c:v>1.9098320843092242</c:v>
                </c:pt>
                <c:pt idx="55">
                  <c:v>1.9108386096704213</c:v>
                </c:pt>
                <c:pt idx="56">
                  <c:v>1.9157487133779549</c:v>
                </c:pt>
                <c:pt idx="57">
                  <c:v>1.9213621609242886</c:v>
                </c:pt>
                <c:pt idx="58">
                  <c:v>1.9276891218299217</c:v>
                </c:pt>
                <c:pt idx="59">
                  <c:v>1.9422056642614032</c:v>
                </c:pt>
                <c:pt idx="60">
                  <c:v>1.9425965252198676</c:v>
                </c:pt>
                <c:pt idx="61">
                  <c:v>1.9443530814112577</c:v>
                </c:pt>
                <c:pt idx="62">
                  <c:v>1.945469868152</c:v>
                </c:pt>
                <c:pt idx="63">
                  <c:v>1.9471403439168344</c:v>
                </c:pt>
                <c:pt idx="64">
                  <c:v>1.9472490343467044</c:v>
                </c:pt>
                <c:pt idx="65">
                  <c:v>1.9456772557181052</c:v>
                </c:pt>
                <c:pt idx="66">
                  <c:v>1.9425589401642716</c:v>
                </c:pt>
                <c:pt idx="67">
                  <c:v>1.9278309891735663</c:v>
                </c:pt>
                <c:pt idx="68">
                  <c:v>1.8997635033214402</c:v>
                </c:pt>
                <c:pt idx="69">
                  <c:v>1.8991282352975072</c:v>
                </c:pt>
                <c:pt idx="70">
                  <c:v>1.8870581190959963</c:v>
                </c:pt>
                <c:pt idx="71">
                  <c:v>1.8813451538447639</c:v>
                </c:pt>
                <c:pt idx="72">
                  <c:v>1.8764008968350616</c:v>
                </c:pt>
                <c:pt idx="73">
                  <c:v>1.8681734191433914</c:v>
                </c:pt>
                <c:pt idx="74">
                  <c:v>1.858128816882973</c:v>
                </c:pt>
                <c:pt idx="75">
                  <c:v>1.8055839076522695</c:v>
                </c:pt>
                <c:pt idx="76">
                  <c:v>1.7881518811830515</c:v>
                </c:pt>
                <c:pt idx="77">
                  <c:v>1.7665327795926642</c:v>
                </c:pt>
                <c:pt idx="78">
                  <c:v>1.7526461129600639</c:v>
                </c:pt>
                <c:pt idx="79">
                  <c:v>1.7523942893789584</c:v>
                </c:pt>
                <c:pt idx="80">
                  <c:v>1.7107572567786975</c:v>
                </c:pt>
                <c:pt idx="81">
                  <c:v>1.709872024428519</c:v>
                </c:pt>
                <c:pt idx="82">
                  <c:v>1.6764465571431924</c:v>
                </c:pt>
                <c:pt idx="83">
                  <c:v>1.6595578261453698</c:v>
                </c:pt>
                <c:pt idx="84">
                  <c:v>1.6540053290733596</c:v>
                </c:pt>
                <c:pt idx="85">
                  <c:v>1.6400268683135033</c:v>
                </c:pt>
                <c:pt idx="86">
                  <c:v>1.627171829505367</c:v>
                </c:pt>
                <c:pt idx="87">
                  <c:v>1.6095599639945941</c:v>
                </c:pt>
                <c:pt idx="88">
                  <c:v>1.589694256796703</c:v>
                </c:pt>
                <c:pt idx="89">
                  <c:v>1.531658877807526</c:v>
                </c:pt>
                <c:pt idx="90">
                  <c:v>1.5229783971308235</c:v>
                </c:pt>
                <c:pt idx="91">
                  <c:v>1.5020224207091981</c:v>
                </c:pt>
                <c:pt idx="92">
                  <c:v>1.4410402317437319</c:v>
                </c:pt>
                <c:pt idx="93">
                  <c:v>1.438893832720948</c:v>
                </c:pt>
                <c:pt idx="94">
                  <c:v>1.4139532171182509</c:v>
                </c:pt>
                <c:pt idx="95">
                  <c:v>1.4023000301661233</c:v>
                </c:pt>
                <c:pt idx="96">
                  <c:v>1.3972244314195115</c:v>
                </c:pt>
                <c:pt idx="97">
                  <c:v>1.3389385281167543</c:v>
                </c:pt>
                <c:pt idx="98">
                  <c:v>1.3381542470788623</c:v>
                </c:pt>
                <c:pt idx="99">
                  <c:v>1.3372622004278074</c:v>
                </c:pt>
                <c:pt idx="100">
                  <c:v>1.3162565451192267</c:v>
                </c:pt>
                <c:pt idx="101">
                  <c:v>1.306518517899512</c:v>
                </c:pt>
                <c:pt idx="102">
                  <c:v>1.2717697692166259</c:v>
                </c:pt>
                <c:pt idx="103">
                  <c:v>1.2670305519065579</c:v>
                </c:pt>
                <c:pt idx="104">
                  <c:v>1.2527261624270081</c:v>
                </c:pt>
                <c:pt idx="105">
                  <c:v>1.2503588699839951</c:v>
                </c:pt>
                <c:pt idx="106">
                  <c:v>1.245986276730507</c:v>
                </c:pt>
                <c:pt idx="107">
                  <c:v>1.2234292608365249</c:v>
                </c:pt>
                <c:pt idx="108">
                  <c:v>1.1926917749219523</c:v>
                </c:pt>
                <c:pt idx="109">
                  <c:v>1.1781715834311117</c:v>
                </c:pt>
                <c:pt idx="110">
                  <c:v>1.1610745596409999</c:v>
                </c:pt>
                <c:pt idx="111">
                  <c:v>1.1524600930893756</c:v>
                </c:pt>
                <c:pt idx="112">
                  <c:v>1.1071255973785132</c:v>
                </c:pt>
                <c:pt idx="113">
                  <c:v>1.0817261451131386</c:v>
                </c:pt>
                <c:pt idx="114">
                  <c:v>1.0803585210497983</c:v>
                </c:pt>
                <c:pt idx="115">
                  <c:v>1.0593518857452002</c:v>
                </c:pt>
                <c:pt idx="116">
                  <c:v>1.048070419992253</c:v>
                </c:pt>
                <c:pt idx="117">
                  <c:v>1.0392394737026671</c:v>
                </c:pt>
                <c:pt idx="118">
                  <c:v>0.97396507906535934</c:v>
                </c:pt>
                <c:pt idx="119">
                  <c:v>0.9173554640587902</c:v>
                </c:pt>
                <c:pt idx="120">
                  <c:v>0.87721626715312739</c:v>
                </c:pt>
                <c:pt idx="121">
                  <c:v>0.86144680564211074</c:v>
                </c:pt>
                <c:pt idx="122">
                  <c:v>0.83587677013274897</c:v>
                </c:pt>
                <c:pt idx="123">
                  <c:v>0.81515502531904227</c:v>
                </c:pt>
                <c:pt idx="124">
                  <c:v>0.7787389680058463</c:v>
                </c:pt>
                <c:pt idx="125">
                  <c:v>0.75365730449874802</c:v>
                </c:pt>
                <c:pt idx="126">
                  <c:v>0.64164337329094145</c:v>
                </c:pt>
                <c:pt idx="127">
                  <c:v>0.6338752170943085</c:v>
                </c:pt>
                <c:pt idx="128">
                  <c:v>0.62433055477620991</c:v>
                </c:pt>
                <c:pt idx="129">
                  <c:v>0.62328651346753183</c:v>
                </c:pt>
                <c:pt idx="130">
                  <c:v>0.61317761342860555</c:v>
                </c:pt>
                <c:pt idx="131">
                  <c:v>0.61308463821719705</c:v>
                </c:pt>
                <c:pt idx="132">
                  <c:v>0.58762060875656319</c:v>
                </c:pt>
                <c:pt idx="133">
                  <c:v>0.58378485510418932</c:v>
                </c:pt>
                <c:pt idx="134">
                  <c:v>0.58334020399151099</c:v>
                </c:pt>
                <c:pt idx="135">
                  <c:v>0.5708203795244926</c:v>
                </c:pt>
                <c:pt idx="136">
                  <c:v>0.55944215388928242</c:v>
                </c:pt>
                <c:pt idx="137">
                  <c:v>0.5369303081671486</c:v>
                </c:pt>
                <c:pt idx="138">
                  <c:v>0.53346357981470849</c:v>
                </c:pt>
                <c:pt idx="139">
                  <c:v>0.532140928376589</c:v>
                </c:pt>
                <c:pt idx="140">
                  <c:v>0.53200645774419808</c:v>
                </c:pt>
                <c:pt idx="141">
                  <c:v>0.51985379532990361</c:v>
                </c:pt>
                <c:pt idx="142">
                  <c:v>0.49985423221791692</c:v>
                </c:pt>
                <c:pt idx="143">
                  <c:v>0.49562710660014098</c:v>
                </c:pt>
                <c:pt idx="144">
                  <c:v>0.48498076494857001</c:v>
                </c:pt>
                <c:pt idx="145">
                  <c:v>0.48448414479839919</c:v>
                </c:pt>
                <c:pt idx="146">
                  <c:v>0.45352739850200186</c:v>
                </c:pt>
                <c:pt idx="147">
                  <c:v>0.44601716168686822</c:v>
                </c:pt>
                <c:pt idx="148">
                  <c:v>0.44488250415034925</c:v>
                </c:pt>
                <c:pt idx="149">
                  <c:v>0.3992806961743911</c:v>
                </c:pt>
                <c:pt idx="150">
                  <c:v>0.39791187121909921</c:v>
                </c:pt>
                <c:pt idx="151">
                  <c:v>0.39693350914349068</c:v>
                </c:pt>
                <c:pt idx="152">
                  <c:v>0.36975413378943278</c:v>
                </c:pt>
                <c:pt idx="153">
                  <c:v>0.34971980856433582</c:v>
                </c:pt>
                <c:pt idx="154">
                  <c:v>0.3465788312349134</c:v>
                </c:pt>
                <c:pt idx="155">
                  <c:v>0.33647421530770361</c:v>
                </c:pt>
                <c:pt idx="156">
                  <c:v>0.30217452903659581</c:v>
                </c:pt>
                <c:pt idx="157">
                  <c:v>0.30030577351323462</c:v>
                </c:pt>
                <c:pt idx="158">
                  <c:v>0.30006589178951337</c:v>
                </c:pt>
                <c:pt idx="159">
                  <c:v>0.29653042071339364</c:v>
                </c:pt>
                <c:pt idx="160">
                  <c:v>0.27600741426880582</c:v>
                </c:pt>
                <c:pt idx="161">
                  <c:v>0.26164546606430861</c:v>
                </c:pt>
                <c:pt idx="162">
                  <c:v>0.2498361915404006</c:v>
                </c:pt>
                <c:pt idx="163">
                  <c:v>0.24278724877682034</c:v>
                </c:pt>
                <c:pt idx="164">
                  <c:v>0.24155180907697371</c:v>
                </c:pt>
                <c:pt idx="165">
                  <c:v>0.24114702819874356</c:v>
                </c:pt>
                <c:pt idx="166">
                  <c:v>0.23625816718089698</c:v>
                </c:pt>
                <c:pt idx="167">
                  <c:v>0.23468830166062471</c:v>
                </c:pt>
                <c:pt idx="168">
                  <c:v>0.21964650359425875</c:v>
                </c:pt>
                <c:pt idx="169">
                  <c:v>0.2193742146694948</c:v>
                </c:pt>
                <c:pt idx="170">
                  <c:v>0.20878156354906707</c:v>
                </c:pt>
                <c:pt idx="171">
                  <c:v>0.20869702762896036</c:v>
                </c:pt>
                <c:pt idx="172">
                  <c:v>0.20590553553733892</c:v>
                </c:pt>
                <c:pt idx="173">
                  <c:v>0.20495512028987628</c:v>
                </c:pt>
                <c:pt idx="174">
                  <c:v>0.20067612442907556</c:v>
                </c:pt>
                <c:pt idx="175">
                  <c:v>0.1811652641620296</c:v>
                </c:pt>
                <c:pt idx="176">
                  <c:v>0.17874201268844558</c:v>
                </c:pt>
                <c:pt idx="177">
                  <c:v>0.17245852884711743</c:v>
                </c:pt>
                <c:pt idx="178">
                  <c:v>0.16355177847156321</c:v>
                </c:pt>
                <c:pt idx="179">
                  <c:v>0.1626062310160914</c:v>
                </c:pt>
                <c:pt idx="180">
                  <c:v>0.16218529571161877</c:v>
                </c:pt>
                <c:pt idx="181">
                  <c:v>0.16100432359946293</c:v>
                </c:pt>
                <c:pt idx="182">
                  <c:v>0.15507870988787387</c:v>
                </c:pt>
                <c:pt idx="183">
                  <c:v>0.15388325550230686</c:v>
                </c:pt>
                <c:pt idx="184">
                  <c:v>0.15080238205316165</c:v>
                </c:pt>
                <c:pt idx="185">
                  <c:v>0.13882493546022534</c:v>
                </c:pt>
                <c:pt idx="186">
                  <c:v>0.12112283292782955</c:v>
                </c:pt>
                <c:pt idx="187">
                  <c:v>0.10972183029172422</c:v>
                </c:pt>
                <c:pt idx="188">
                  <c:v>0.10948860845213293</c:v>
                </c:pt>
                <c:pt idx="189">
                  <c:v>0.10538413384094225</c:v>
                </c:pt>
                <c:pt idx="190">
                  <c:v>0.10301122478779323</c:v>
                </c:pt>
                <c:pt idx="191">
                  <c:v>9.6257425240998007E-2</c:v>
                </c:pt>
                <c:pt idx="192">
                  <c:v>9.0688633525287887E-2</c:v>
                </c:pt>
                <c:pt idx="193">
                  <c:v>8.1127100630218774E-2</c:v>
                </c:pt>
                <c:pt idx="194">
                  <c:v>7.0319275970834205E-2</c:v>
                </c:pt>
                <c:pt idx="195">
                  <c:v>6.7379301542055181E-2</c:v>
                </c:pt>
                <c:pt idx="196">
                  <c:v>6.6872395062476109E-2</c:v>
                </c:pt>
                <c:pt idx="197">
                  <c:v>6.2058872078330829E-2</c:v>
                </c:pt>
                <c:pt idx="198">
                  <c:v>5.7746326535915493E-2</c:v>
                </c:pt>
                <c:pt idx="199">
                  <c:v>4.4313599550525051E-2</c:v>
                </c:pt>
                <c:pt idx="200">
                  <c:v>4.4293365071253366E-2</c:v>
                </c:pt>
                <c:pt idx="201">
                  <c:v>4.3813123130011178E-2</c:v>
                </c:pt>
                <c:pt idx="202">
                  <c:v>4.3515147110719798E-2</c:v>
                </c:pt>
                <c:pt idx="203">
                  <c:v>4.2679247359298067E-2</c:v>
                </c:pt>
                <c:pt idx="204">
                  <c:v>3.6228653378389541E-2</c:v>
                </c:pt>
                <c:pt idx="205">
                  <c:v>3.4996770005617961E-2</c:v>
                </c:pt>
                <c:pt idx="206">
                  <c:v>3.2882845835201291E-2</c:v>
                </c:pt>
                <c:pt idx="207">
                  <c:v>3.1594764835206846E-2</c:v>
                </c:pt>
                <c:pt idx="208">
                  <c:v>3.0899801408065475E-2</c:v>
                </c:pt>
                <c:pt idx="209">
                  <c:v>3.0003284327694058E-2</c:v>
                </c:pt>
                <c:pt idx="210">
                  <c:v>2.8308083436032749E-2</c:v>
                </c:pt>
                <c:pt idx="211">
                  <c:v>2.7522050815579124E-2</c:v>
                </c:pt>
                <c:pt idx="212">
                  <c:v>2.4687495505176571E-2</c:v>
                </c:pt>
                <c:pt idx="213">
                  <c:v>2.4198356565121149E-2</c:v>
                </c:pt>
                <c:pt idx="214">
                  <c:v>2.374202425714822E-2</c:v>
                </c:pt>
                <c:pt idx="215">
                  <c:v>1.8973866839510301E-2</c:v>
                </c:pt>
                <c:pt idx="216">
                  <c:v>1.7019521124931547E-2</c:v>
                </c:pt>
                <c:pt idx="217">
                  <c:v>1.6556220406159561E-2</c:v>
                </c:pt>
                <c:pt idx="218">
                  <c:v>1.5710516877848413E-2</c:v>
                </c:pt>
                <c:pt idx="219">
                  <c:v>1.5316483247652002E-2</c:v>
                </c:pt>
                <c:pt idx="220">
                  <c:v>1.5257200227190904E-2</c:v>
                </c:pt>
                <c:pt idx="221">
                  <c:v>1.433923020019412E-2</c:v>
                </c:pt>
                <c:pt idx="222">
                  <c:v>1.4248358372800141E-2</c:v>
                </c:pt>
                <c:pt idx="223">
                  <c:v>1.4055407249789376E-2</c:v>
                </c:pt>
                <c:pt idx="224">
                  <c:v>1.3989433100712212E-2</c:v>
                </c:pt>
                <c:pt idx="225">
                  <c:v>1.3927479749666904E-2</c:v>
                </c:pt>
                <c:pt idx="226">
                  <c:v>1.3773723794537673E-2</c:v>
                </c:pt>
                <c:pt idx="227">
                  <c:v>1.2791747670043208E-2</c:v>
                </c:pt>
                <c:pt idx="228">
                  <c:v>1.2748579281202765E-2</c:v>
                </c:pt>
                <c:pt idx="229">
                  <c:v>1.2147433130202945E-2</c:v>
                </c:pt>
                <c:pt idx="230">
                  <c:v>1.1318616011446014E-2</c:v>
                </c:pt>
                <c:pt idx="231">
                  <c:v>1.1311499686368354E-2</c:v>
                </c:pt>
                <c:pt idx="232">
                  <c:v>1.1151001719017728E-2</c:v>
                </c:pt>
                <c:pt idx="233">
                  <c:v>1.0642657304478664E-2</c:v>
                </c:pt>
                <c:pt idx="234">
                  <c:v>9.267731635618226E-3</c:v>
                </c:pt>
                <c:pt idx="235">
                  <c:v>8.7115394615038255E-3</c:v>
                </c:pt>
                <c:pt idx="236">
                  <c:v>8.4080668938288916E-3</c:v>
                </c:pt>
                <c:pt idx="237">
                  <c:v>7.7588729685516E-3</c:v>
                </c:pt>
                <c:pt idx="238">
                  <c:v>7.662693019965694E-3</c:v>
                </c:pt>
                <c:pt idx="239">
                  <c:v>7.5196013050131683E-3</c:v>
                </c:pt>
                <c:pt idx="240">
                  <c:v>5.3121070876485099E-3</c:v>
                </c:pt>
                <c:pt idx="241">
                  <c:v>1.439036833351004E-3</c:v>
                </c:pt>
                <c:pt idx="242">
                  <c:v>9.731564900503642E-4</c:v>
                </c:pt>
                <c:pt idx="243">
                  <c:v>2.9992707692150233E-4</c:v>
                </c:pt>
                <c:pt idx="244">
                  <c:v>4.9709739343928305E-5</c:v>
                </c:pt>
                <c:pt idx="245">
                  <c:v>-1.5140363444032801E-4</c:v>
                </c:pt>
                <c:pt idx="246">
                  <c:v>-4.3302571160319658E-4</c:v>
                </c:pt>
                <c:pt idx="247">
                  <c:v>-6.7331390895164489E-4</c:v>
                </c:pt>
                <c:pt idx="248">
                  <c:v>-7.9826890950185359E-4</c:v>
                </c:pt>
                <c:pt idx="249">
                  <c:v>-1.4498721796463165E-3</c:v>
                </c:pt>
                <c:pt idx="250">
                  <c:v>-1.8797355279254191E-3</c:v>
                </c:pt>
                <c:pt idx="251">
                  <c:v>-1.9780504775512853E-3</c:v>
                </c:pt>
                <c:pt idx="252">
                  <c:v>-2.0594871454160391E-3</c:v>
                </c:pt>
                <c:pt idx="253">
                  <c:v>-2.0980554602041401E-3</c:v>
                </c:pt>
                <c:pt idx="254">
                  <c:v>-2.1443822846394234E-3</c:v>
                </c:pt>
                <c:pt idx="255">
                  <c:v>-2.1885061110706872E-3</c:v>
                </c:pt>
                <c:pt idx="256">
                  <c:v>-2.357278997264789E-3</c:v>
                </c:pt>
                <c:pt idx="257">
                  <c:v>-2.3582267179489413E-3</c:v>
                </c:pt>
                <c:pt idx="258">
                  <c:v>-2.3699652684974204E-3</c:v>
                </c:pt>
                <c:pt idx="259">
                  <c:v>-2.5397707368135514E-3</c:v>
                </c:pt>
                <c:pt idx="260">
                  <c:v>-2.5790330690425023E-3</c:v>
                </c:pt>
                <c:pt idx="261">
                  <c:v>-2.4362624223028817E-3</c:v>
                </c:pt>
                <c:pt idx="262">
                  <c:v>-2.2090581340536986E-3</c:v>
                </c:pt>
                <c:pt idx="263">
                  <c:v>-1.9733595402362525E-3</c:v>
                </c:pt>
                <c:pt idx="264">
                  <c:v>-1.7567722031444077E-3</c:v>
                </c:pt>
                <c:pt idx="265">
                  <c:v>-1.5784839845034426E-3</c:v>
                </c:pt>
                <c:pt idx="266">
                  <c:v>-1.3532858688316551E-3</c:v>
                </c:pt>
                <c:pt idx="267">
                  <c:v>-1.1763636430695001E-3</c:v>
                </c:pt>
                <c:pt idx="268">
                  <c:v>-8.5719213330648358E-4</c:v>
                </c:pt>
                <c:pt idx="269">
                  <c:v>-4.9865263802217896E-4</c:v>
                </c:pt>
                <c:pt idx="270">
                  <c:v>-4.7879708901232831E-4</c:v>
                </c:pt>
                <c:pt idx="271">
                  <c:v>-1.7845433658747467E-4</c:v>
                </c:pt>
                <c:pt idx="272">
                  <c:v>6.4500803128586526E-4</c:v>
                </c:pt>
                <c:pt idx="273">
                  <c:v>1.9862930821199498E-3</c:v>
                </c:pt>
                <c:pt idx="274">
                  <c:v>2.4938693100966525E-3</c:v>
                </c:pt>
                <c:pt idx="275">
                  <c:v>3.1609602384725655E-3</c:v>
                </c:pt>
                <c:pt idx="276">
                  <c:v>3.5324806501932926E-3</c:v>
                </c:pt>
                <c:pt idx="277">
                  <c:v>4.0802097150636207E-3</c:v>
                </c:pt>
                <c:pt idx="278">
                  <c:v>4.4591428218034856E-3</c:v>
                </c:pt>
                <c:pt idx="279">
                  <c:v>5.2884044309382539E-3</c:v>
                </c:pt>
                <c:pt idx="280">
                  <c:v>5.4096940903316515E-3</c:v>
                </c:pt>
                <c:pt idx="281">
                  <c:v>5.5872686547315809E-3</c:v>
                </c:pt>
                <c:pt idx="282">
                  <c:v>5.9645089754831737E-3</c:v>
                </c:pt>
                <c:pt idx="283">
                  <c:v>5.9916894907403595E-3</c:v>
                </c:pt>
                <c:pt idx="284">
                  <c:v>6.056819705301475E-3</c:v>
                </c:pt>
                <c:pt idx="285">
                  <c:v>8.1511403084943979E-3</c:v>
                </c:pt>
                <c:pt idx="286">
                  <c:v>8.3112779151353067E-3</c:v>
                </c:pt>
                <c:pt idx="287">
                  <c:v>9.3470431859161707E-3</c:v>
                </c:pt>
                <c:pt idx="288">
                  <c:v>9.5157684137201493E-3</c:v>
                </c:pt>
                <c:pt idx="289">
                  <c:v>1.0272589733534954E-2</c:v>
                </c:pt>
                <c:pt idx="290">
                  <c:v>1.2052265867461109E-2</c:v>
                </c:pt>
                <c:pt idx="291">
                  <c:v>1.2057488891494383E-2</c:v>
                </c:pt>
                <c:pt idx="292">
                  <c:v>1.2213032907774757E-2</c:v>
                </c:pt>
                <c:pt idx="293">
                  <c:v>1.4320751890178229E-2</c:v>
                </c:pt>
                <c:pt idx="294">
                  <c:v>1.4959298297557488E-2</c:v>
                </c:pt>
                <c:pt idx="295">
                  <c:v>1.662399359499922E-2</c:v>
                </c:pt>
                <c:pt idx="296">
                  <c:v>1.6697854665025158E-2</c:v>
                </c:pt>
                <c:pt idx="297">
                  <c:v>1.7195532485892784E-2</c:v>
                </c:pt>
                <c:pt idx="298">
                  <c:v>1.7866183074707109E-2</c:v>
                </c:pt>
                <c:pt idx="299">
                  <c:v>1.9175105753083788E-2</c:v>
                </c:pt>
                <c:pt idx="300">
                  <c:v>1.9450620448095535E-2</c:v>
                </c:pt>
                <c:pt idx="301">
                  <c:v>1.9568416388834553E-2</c:v>
                </c:pt>
                <c:pt idx="302">
                  <c:v>2.2715913761601314E-2</c:v>
                </c:pt>
                <c:pt idx="303">
                  <c:v>2.3640498190280912E-2</c:v>
                </c:pt>
                <c:pt idx="304">
                  <c:v>2.5059490932364703E-2</c:v>
                </c:pt>
                <c:pt idx="305">
                  <c:v>2.5648902105982252E-2</c:v>
                </c:pt>
                <c:pt idx="306">
                  <c:v>2.6052465837254513E-2</c:v>
                </c:pt>
                <c:pt idx="307">
                  <c:v>2.6506093907684214E-2</c:v>
                </c:pt>
                <c:pt idx="308">
                  <c:v>2.6859908167032653E-2</c:v>
                </c:pt>
                <c:pt idx="309">
                  <c:v>3.0152024273477629E-2</c:v>
                </c:pt>
                <c:pt idx="310">
                  <c:v>3.1409622354023004E-2</c:v>
                </c:pt>
                <c:pt idx="311">
                  <c:v>3.2052054965993282E-2</c:v>
                </c:pt>
                <c:pt idx="312">
                  <c:v>3.4003158056707949E-2</c:v>
                </c:pt>
                <c:pt idx="313">
                  <c:v>3.6456827471002207E-2</c:v>
                </c:pt>
                <c:pt idx="314">
                  <c:v>4.3000752637917028E-2</c:v>
                </c:pt>
                <c:pt idx="315">
                  <c:v>4.7219688202550181E-2</c:v>
                </c:pt>
                <c:pt idx="316">
                  <c:v>4.9495558606367673E-2</c:v>
                </c:pt>
                <c:pt idx="317">
                  <c:v>5.0477342490843125E-2</c:v>
                </c:pt>
                <c:pt idx="318">
                  <c:v>5.161678477595899E-2</c:v>
                </c:pt>
                <c:pt idx="319">
                  <c:v>5.4182078032297465E-2</c:v>
                </c:pt>
                <c:pt idx="320">
                  <c:v>5.7451186212207794E-2</c:v>
                </c:pt>
                <c:pt idx="321">
                  <c:v>5.8646056968895799E-2</c:v>
                </c:pt>
                <c:pt idx="322">
                  <c:v>5.9516870861322513E-2</c:v>
                </c:pt>
                <c:pt idx="323">
                  <c:v>5.9795183685969366E-2</c:v>
                </c:pt>
                <c:pt idx="324">
                  <c:v>6.2661139108993069E-2</c:v>
                </c:pt>
                <c:pt idx="325">
                  <c:v>6.3214743122335992E-2</c:v>
                </c:pt>
                <c:pt idx="326">
                  <c:v>6.3591465345913534E-2</c:v>
                </c:pt>
                <c:pt idx="327">
                  <c:v>6.5913046241035556E-2</c:v>
                </c:pt>
                <c:pt idx="328">
                  <c:v>7.0700646886630913E-2</c:v>
                </c:pt>
                <c:pt idx="329">
                  <c:v>7.5637030924042836E-2</c:v>
                </c:pt>
                <c:pt idx="330">
                  <c:v>7.6201238299690832E-2</c:v>
                </c:pt>
                <c:pt idx="331">
                  <c:v>7.6275328821040045E-2</c:v>
                </c:pt>
                <c:pt idx="332">
                  <c:v>7.6718061911953406E-2</c:v>
                </c:pt>
                <c:pt idx="333">
                  <c:v>8.081286894232198E-2</c:v>
                </c:pt>
                <c:pt idx="334">
                  <c:v>8.1999805214412635E-2</c:v>
                </c:pt>
                <c:pt idx="335">
                  <c:v>8.2744558625375664E-2</c:v>
                </c:pt>
                <c:pt idx="336">
                  <c:v>8.7164086347772951E-2</c:v>
                </c:pt>
                <c:pt idx="337">
                  <c:v>9.2248563483386725E-2</c:v>
                </c:pt>
                <c:pt idx="338">
                  <c:v>9.5852088736595231E-2</c:v>
                </c:pt>
                <c:pt idx="339">
                  <c:v>0.10346698237880059</c:v>
                </c:pt>
                <c:pt idx="340">
                  <c:v>0.10928284808275457</c:v>
                </c:pt>
                <c:pt idx="341">
                  <c:v>0.11635983846779308</c:v>
                </c:pt>
                <c:pt idx="342">
                  <c:v>0.11775563494185581</c:v>
                </c:pt>
                <c:pt idx="343">
                  <c:v>0.12041397863258396</c:v>
                </c:pt>
                <c:pt idx="344">
                  <c:v>0.12523722622152977</c:v>
                </c:pt>
                <c:pt idx="345">
                  <c:v>0.13253759902739715</c:v>
                </c:pt>
                <c:pt idx="346">
                  <c:v>0.14255890181228725</c:v>
                </c:pt>
                <c:pt idx="347">
                  <c:v>0.14723278334355072</c:v>
                </c:pt>
                <c:pt idx="348">
                  <c:v>0.15222851671962134</c:v>
                </c:pt>
                <c:pt idx="349">
                  <c:v>0.15628666232847843</c:v>
                </c:pt>
                <c:pt idx="350">
                  <c:v>0.16346603197730225</c:v>
                </c:pt>
                <c:pt idx="351">
                  <c:v>0.16867592625012495</c:v>
                </c:pt>
                <c:pt idx="352">
                  <c:v>0.17012936300326409</c:v>
                </c:pt>
                <c:pt idx="353">
                  <c:v>0.17041025382261266</c:v>
                </c:pt>
                <c:pt idx="354">
                  <c:v>0.17078656881634124</c:v>
                </c:pt>
                <c:pt idx="355">
                  <c:v>0.1712863006993488</c:v>
                </c:pt>
                <c:pt idx="356">
                  <c:v>0.17173058118447182</c:v>
                </c:pt>
                <c:pt idx="357">
                  <c:v>0.1770694902205463</c:v>
                </c:pt>
                <c:pt idx="358">
                  <c:v>0.17761022515020963</c:v>
                </c:pt>
                <c:pt idx="359">
                  <c:v>0.18519341799286515</c:v>
                </c:pt>
                <c:pt idx="360">
                  <c:v>0.1857013363040898</c:v>
                </c:pt>
                <c:pt idx="361">
                  <c:v>0.18843440731776573</c:v>
                </c:pt>
                <c:pt idx="362">
                  <c:v>0.19138455254775133</c:v>
                </c:pt>
                <c:pt idx="363">
                  <c:v>0.19186120934150663</c:v>
                </c:pt>
                <c:pt idx="364">
                  <c:v>0.19357058644954916</c:v>
                </c:pt>
                <c:pt idx="365">
                  <c:v>0.19609687826673117</c:v>
                </c:pt>
                <c:pt idx="366">
                  <c:v>0.19760322482566162</c:v>
                </c:pt>
                <c:pt idx="367">
                  <c:v>0.20209721529079161</c:v>
                </c:pt>
                <c:pt idx="368">
                  <c:v>0.20287803858757592</c:v>
                </c:pt>
                <c:pt idx="369">
                  <c:v>0.20335590359007094</c:v>
                </c:pt>
                <c:pt idx="370">
                  <c:v>0.20984076397306417</c:v>
                </c:pt>
                <c:pt idx="371">
                  <c:v>0.21460501293886525</c:v>
                </c:pt>
                <c:pt idx="372">
                  <c:v>0.22101135442389408</c:v>
                </c:pt>
                <c:pt idx="373">
                  <c:v>0.22141936791802053</c:v>
                </c:pt>
                <c:pt idx="374">
                  <c:v>0.23496218269795399</c:v>
                </c:pt>
                <c:pt idx="375">
                  <c:v>0.23634491439709215</c:v>
                </c:pt>
                <c:pt idx="376">
                  <c:v>0.25065799633424657</c:v>
                </c:pt>
                <c:pt idx="377">
                  <c:v>0.2507549729424956</c:v>
                </c:pt>
                <c:pt idx="378">
                  <c:v>0.26565227200541042</c:v>
                </c:pt>
                <c:pt idx="379">
                  <c:v>0.27071996367392526</c:v>
                </c:pt>
                <c:pt idx="380">
                  <c:v>0.27861370931473317</c:v>
                </c:pt>
                <c:pt idx="381">
                  <c:v>0.28010788018606902</c:v>
                </c:pt>
                <c:pt idx="382">
                  <c:v>0.29067513745746876</c:v>
                </c:pt>
                <c:pt idx="383">
                  <c:v>0.2938426184458689</c:v>
                </c:pt>
                <c:pt idx="384">
                  <c:v>0.30221929157490957</c:v>
                </c:pt>
                <c:pt idx="385">
                  <c:v>0.30397311680058747</c:v>
                </c:pt>
                <c:pt idx="386">
                  <c:v>0.3135099219314128</c:v>
                </c:pt>
                <c:pt idx="387">
                  <c:v>0.31961073804962981</c:v>
                </c:pt>
                <c:pt idx="388">
                  <c:v>0.32414564376598642</c:v>
                </c:pt>
                <c:pt idx="389">
                  <c:v>0.32561092881120857</c:v>
                </c:pt>
                <c:pt idx="390">
                  <c:v>0.33942595040742196</c:v>
                </c:pt>
                <c:pt idx="391">
                  <c:v>0.35376423352525865</c:v>
                </c:pt>
                <c:pt idx="392">
                  <c:v>0.35860631485688321</c:v>
                </c:pt>
                <c:pt idx="393">
                  <c:v>0.35887331233513509</c:v>
                </c:pt>
                <c:pt idx="394">
                  <c:v>0.36368195034580619</c:v>
                </c:pt>
                <c:pt idx="395">
                  <c:v>0.3767328161178809</c:v>
                </c:pt>
                <c:pt idx="396">
                  <c:v>0.3817893818904543</c:v>
                </c:pt>
                <c:pt idx="397">
                  <c:v>0.38380029833262519</c:v>
                </c:pt>
                <c:pt idx="398">
                  <c:v>0.39726260885648967</c:v>
                </c:pt>
                <c:pt idx="399">
                  <c:v>0.40246906172649899</c:v>
                </c:pt>
                <c:pt idx="400">
                  <c:v>0.42060323441329306</c:v>
                </c:pt>
                <c:pt idx="401">
                  <c:v>0.42233819418485252</c:v>
                </c:pt>
                <c:pt idx="402">
                  <c:v>0.42605880991186007</c:v>
                </c:pt>
                <c:pt idx="403">
                  <c:v>0.42677109093974197</c:v>
                </c:pt>
                <c:pt idx="404">
                  <c:v>0.43157323891835109</c:v>
                </c:pt>
                <c:pt idx="405">
                  <c:v>0.43177833269354382</c:v>
                </c:pt>
                <c:pt idx="406">
                  <c:v>0.43465835337119341</c:v>
                </c:pt>
                <c:pt idx="407">
                  <c:v>0.43901229169963951</c:v>
                </c:pt>
                <c:pt idx="408">
                  <c:v>0.44155944616115494</c:v>
                </c:pt>
                <c:pt idx="409">
                  <c:v>0.44185213548673641</c:v>
                </c:pt>
                <c:pt idx="410">
                  <c:v>0.45308162236177196</c:v>
                </c:pt>
                <c:pt idx="411">
                  <c:v>0.45339664007703595</c:v>
                </c:pt>
                <c:pt idx="412">
                  <c:v>0.45965746824742704</c:v>
                </c:pt>
                <c:pt idx="413">
                  <c:v>0.47815939224055981</c:v>
                </c:pt>
                <c:pt idx="414">
                  <c:v>0.47859370579567573</c:v>
                </c:pt>
                <c:pt idx="415">
                  <c:v>0.4798555821531898</c:v>
                </c:pt>
                <c:pt idx="416">
                  <c:v>0.48632899417284747</c:v>
                </c:pt>
                <c:pt idx="417">
                  <c:v>0.4881174600942404</c:v>
                </c:pt>
                <c:pt idx="418">
                  <c:v>0.48928037242977673</c:v>
                </c:pt>
                <c:pt idx="419">
                  <c:v>0.48932113548705924</c:v>
                </c:pt>
                <c:pt idx="420">
                  <c:v>0.48937785598672345</c:v>
                </c:pt>
                <c:pt idx="421">
                  <c:v>0.48914919635424203</c:v>
                </c:pt>
                <c:pt idx="422">
                  <c:v>0.48450882021476049</c:v>
                </c:pt>
                <c:pt idx="423">
                  <c:v>0.48256660802669327</c:v>
                </c:pt>
                <c:pt idx="424">
                  <c:v>0.4821374926339268</c:v>
                </c:pt>
                <c:pt idx="425">
                  <c:v>0.48147834221900654</c:v>
                </c:pt>
                <c:pt idx="426">
                  <c:v>0.47333314140886928</c:v>
                </c:pt>
                <c:pt idx="427">
                  <c:v>0.47279435395740066</c:v>
                </c:pt>
                <c:pt idx="428">
                  <c:v>0.46972765970387931</c:v>
                </c:pt>
                <c:pt idx="429">
                  <c:v>0.46807454856244224</c:v>
                </c:pt>
                <c:pt idx="430">
                  <c:v>0.46630025578281353</c:v>
                </c:pt>
                <c:pt idx="431">
                  <c:v>0.46572631885131166</c:v>
                </c:pt>
                <c:pt idx="432">
                  <c:v>0.46357872433217207</c:v>
                </c:pt>
                <c:pt idx="433">
                  <c:v>0.46012017728858012</c:v>
                </c:pt>
                <c:pt idx="434">
                  <c:v>0.45194692556478655</c:v>
                </c:pt>
                <c:pt idx="435">
                  <c:v>0.44766169362545183</c:v>
                </c:pt>
                <c:pt idx="436">
                  <c:v>0.44647636992070483</c:v>
                </c:pt>
                <c:pt idx="437">
                  <c:v>0.44160454378382008</c:v>
                </c:pt>
                <c:pt idx="438">
                  <c:v>0.4232793136988966</c:v>
                </c:pt>
                <c:pt idx="439">
                  <c:v>0.41966837731040973</c:v>
                </c:pt>
                <c:pt idx="440">
                  <c:v>0.41467440381239751</c:v>
                </c:pt>
                <c:pt idx="441">
                  <c:v>0.41450858974701177</c:v>
                </c:pt>
                <c:pt idx="442">
                  <c:v>0.40802925870339202</c:v>
                </c:pt>
                <c:pt idx="443">
                  <c:v>0.40484148829681654</c:v>
                </c:pt>
                <c:pt idx="444">
                  <c:v>0.40193642625407033</c:v>
                </c:pt>
                <c:pt idx="445">
                  <c:v>0.39423415323971689</c:v>
                </c:pt>
                <c:pt idx="446">
                  <c:v>0.38915245967903633</c:v>
                </c:pt>
                <c:pt idx="447">
                  <c:v>0.37180356541848969</c:v>
                </c:pt>
                <c:pt idx="448">
                  <c:v>0.36907744360955208</c:v>
                </c:pt>
                <c:pt idx="449">
                  <c:v>0.34665366971106693</c:v>
                </c:pt>
                <c:pt idx="450">
                  <c:v>0.34630345868949242</c:v>
                </c:pt>
                <c:pt idx="451">
                  <c:v>0.33832650735633951</c:v>
                </c:pt>
                <c:pt idx="452">
                  <c:v>0.33765000657903554</c:v>
                </c:pt>
                <c:pt idx="453">
                  <c:v>0.33581760713153797</c:v>
                </c:pt>
                <c:pt idx="454">
                  <c:v>0.32797573819083947</c:v>
                </c:pt>
                <c:pt idx="455">
                  <c:v>0.32786607509708832</c:v>
                </c:pt>
                <c:pt idx="456">
                  <c:v>0.31492969317223984</c:v>
                </c:pt>
                <c:pt idx="457">
                  <c:v>0.3117247964595804</c:v>
                </c:pt>
                <c:pt idx="458">
                  <c:v>0.30699487391275948</c:v>
                </c:pt>
                <c:pt idx="459">
                  <c:v>0.30630153553478223</c:v>
                </c:pt>
                <c:pt idx="460">
                  <c:v>0.30518399570511967</c:v>
                </c:pt>
                <c:pt idx="461">
                  <c:v>0.26106205327073129</c:v>
                </c:pt>
                <c:pt idx="462">
                  <c:v>0.24547183411810236</c:v>
                </c:pt>
                <c:pt idx="463">
                  <c:v>0.23991757486119214</c:v>
                </c:pt>
                <c:pt idx="464">
                  <c:v>0.23405477045294854</c:v>
                </c:pt>
                <c:pt idx="465">
                  <c:v>0.23197061326226542</c:v>
                </c:pt>
                <c:pt idx="466">
                  <c:v>0.23038843656370034</c:v>
                </c:pt>
                <c:pt idx="467">
                  <c:v>0.22457828356954446</c:v>
                </c:pt>
                <c:pt idx="468">
                  <c:v>0.22250489518097627</c:v>
                </c:pt>
                <c:pt idx="469">
                  <c:v>0.21268634915145679</c:v>
                </c:pt>
                <c:pt idx="470">
                  <c:v>0.21259768905730914</c:v>
                </c:pt>
                <c:pt idx="471">
                  <c:v>0.20873343001608369</c:v>
                </c:pt>
                <c:pt idx="472">
                  <c:v>0.20632686760499119</c:v>
                </c:pt>
                <c:pt idx="473">
                  <c:v>0.20630649362218278</c:v>
                </c:pt>
                <c:pt idx="474">
                  <c:v>0.20327355180946238</c:v>
                </c:pt>
                <c:pt idx="475">
                  <c:v>0.19599847052147901</c:v>
                </c:pt>
                <c:pt idx="476">
                  <c:v>0.19262012928106786</c:v>
                </c:pt>
                <c:pt idx="477">
                  <c:v>0.18611564714748052</c:v>
                </c:pt>
                <c:pt idx="478">
                  <c:v>0.18425385352969759</c:v>
                </c:pt>
                <c:pt idx="479">
                  <c:v>0.17801225485355543</c:v>
                </c:pt>
                <c:pt idx="480">
                  <c:v>0.17310013996556872</c:v>
                </c:pt>
                <c:pt idx="481">
                  <c:v>0.16917133427309938</c:v>
                </c:pt>
                <c:pt idx="482">
                  <c:v>0.1649073001407908</c:v>
                </c:pt>
                <c:pt idx="483">
                  <c:v>0.16401795371561434</c:v>
                </c:pt>
                <c:pt idx="484">
                  <c:v>0.16278195526709904</c:v>
                </c:pt>
                <c:pt idx="485">
                  <c:v>0.16136074438084913</c:v>
                </c:pt>
                <c:pt idx="486">
                  <c:v>0.16009394954525691</c:v>
                </c:pt>
                <c:pt idx="487">
                  <c:v>0.15943142601810978</c:v>
                </c:pt>
                <c:pt idx="488">
                  <c:v>0.15675928736854328</c:v>
                </c:pt>
                <c:pt idx="489">
                  <c:v>0.13910819911326122</c:v>
                </c:pt>
                <c:pt idx="490">
                  <c:v>0.13033153158374411</c:v>
                </c:pt>
                <c:pt idx="491">
                  <c:v>0.12731336620878686</c:v>
                </c:pt>
                <c:pt idx="492">
                  <c:v>0.12368256937352395</c:v>
                </c:pt>
                <c:pt idx="493">
                  <c:v>0.11195084083625151</c:v>
                </c:pt>
                <c:pt idx="494">
                  <c:v>0.10340958852031212</c:v>
                </c:pt>
                <c:pt idx="495">
                  <c:v>8.2587656991122582E-2</c:v>
                </c:pt>
                <c:pt idx="496">
                  <c:v>7.1871183013773265E-2</c:v>
                </c:pt>
                <c:pt idx="497">
                  <c:v>6.3074783841162496E-2</c:v>
                </c:pt>
                <c:pt idx="498">
                  <c:v>5.655858763385746E-2</c:v>
                </c:pt>
                <c:pt idx="499">
                  <c:v>5.199120138143698E-2</c:v>
                </c:pt>
                <c:pt idx="500">
                  <c:v>5.1716306377880716E-2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47-4C53-B095-3C309E6E503D}"/>
            </c:ext>
          </c:extLst>
        </c:ser>
        <c:ser>
          <c:idx val="4"/>
          <c:order val="4"/>
          <c:tx>
            <c:v>ANN-high 95%-α=1-0.095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'test function'!$N$7:$N$507</c:f>
              <c:numCache>
                <c:formatCode>0.000</c:formatCode>
                <c:ptCount val="501"/>
                <c:pt idx="0">
                  <c:v>-0.99569429756711392</c:v>
                </c:pt>
                <c:pt idx="1">
                  <c:v>-0.99568056419404494</c:v>
                </c:pt>
                <c:pt idx="2">
                  <c:v>-0.99321005299294041</c:v>
                </c:pt>
                <c:pt idx="3">
                  <c:v>-0.9901713635457996</c:v>
                </c:pt>
                <c:pt idx="4">
                  <c:v>-0.98708933171046187</c:v>
                </c:pt>
                <c:pt idx="5">
                  <c:v>-0.9835524245552274</c:v>
                </c:pt>
                <c:pt idx="6">
                  <c:v>-0.98167576942930945</c:v>
                </c:pt>
                <c:pt idx="7">
                  <c:v>-0.97758000590186755</c:v>
                </c:pt>
                <c:pt idx="8">
                  <c:v>-0.97382748768372718</c:v>
                </c:pt>
                <c:pt idx="9">
                  <c:v>-0.96711666778159233</c:v>
                </c:pt>
                <c:pt idx="10">
                  <c:v>-0.9564964002773173</c:v>
                </c:pt>
                <c:pt idx="11">
                  <c:v>-0.94788637258041986</c:v>
                </c:pt>
                <c:pt idx="12">
                  <c:v>-0.94584243051856776</c:v>
                </c:pt>
                <c:pt idx="13">
                  <c:v>-0.94250841773549543</c:v>
                </c:pt>
                <c:pt idx="14">
                  <c:v>-0.94004832683049599</c:v>
                </c:pt>
                <c:pt idx="15">
                  <c:v>-0.93570579262225606</c:v>
                </c:pt>
                <c:pt idx="16">
                  <c:v>-0.93550746334227797</c:v>
                </c:pt>
                <c:pt idx="17">
                  <c:v>-0.93482258097911153</c:v>
                </c:pt>
                <c:pt idx="18">
                  <c:v>-0.93349182562365618</c:v>
                </c:pt>
                <c:pt idx="19">
                  <c:v>-0.9320361516103155</c:v>
                </c:pt>
                <c:pt idx="20">
                  <c:v>-0.92216007715921622</c:v>
                </c:pt>
                <c:pt idx="21">
                  <c:v>-0.9213429530640409</c:v>
                </c:pt>
                <c:pt idx="22">
                  <c:v>-0.91812831488684821</c:v>
                </c:pt>
                <c:pt idx="23">
                  <c:v>-0.91268822296765295</c:v>
                </c:pt>
                <c:pt idx="24">
                  <c:v>-0.90941232492293933</c:v>
                </c:pt>
                <c:pt idx="25">
                  <c:v>-0.89188450104523675</c:v>
                </c:pt>
                <c:pt idx="26">
                  <c:v>-0.8876090435688202</c:v>
                </c:pt>
                <c:pt idx="27">
                  <c:v>-0.88608525099301949</c:v>
                </c:pt>
                <c:pt idx="28">
                  <c:v>-0.88066697938096072</c:v>
                </c:pt>
                <c:pt idx="29">
                  <c:v>-0.87425009186275759</c:v>
                </c:pt>
                <c:pt idx="30">
                  <c:v>-0.86675520692845365</c:v>
                </c:pt>
                <c:pt idx="31">
                  <c:v>-0.86534099770392836</c:v>
                </c:pt>
                <c:pt idx="32">
                  <c:v>-0.86068345085598086</c:v>
                </c:pt>
                <c:pt idx="33">
                  <c:v>-0.86048938185259183</c:v>
                </c:pt>
                <c:pt idx="34">
                  <c:v>-0.85994439006333812</c:v>
                </c:pt>
                <c:pt idx="35">
                  <c:v>-0.84598411027436771</c:v>
                </c:pt>
                <c:pt idx="36">
                  <c:v>-0.83840833569535089</c:v>
                </c:pt>
                <c:pt idx="37">
                  <c:v>-0.83787060290430371</c:v>
                </c:pt>
                <c:pt idx="38">
                  <c:v>-0.83651914295196983</c:v>
                </c:pt>
                <c:pt idx="39">
                  <c:v>-0.83333357424212329</c:v>
                </c:pt>
                <c:pt idx="40">
                  <c:v>-0.83070770558237328</c:v>
                </c:pt>
                <c:pt idx="41">
                  <c:v>-0.8257258010660824</c:v>
                </c:pt>
                <c:pt idx="42">
                  <c:v>-0.81842631673824351</c:v>
                </c:pt>
                <c:pt idx="43">
                  <c:v>-0.81545632508858246</c:v>
                </c:pt>
                <c:pt idx="44">
                  <c:v>-0.809001184242917</c:v>
                </c:pt>
                <c:pt idx="45">
                  <c:v>-0.80890156297895377</c:v>
                </c:pt>
                <c:pt idx="46">
                  <c:v>-0.8056954108011285</c:v>
                </c:pt>
                <c:pt idx="47">
                  <c:v>-0.80361428399212254</c:v>
                </c:pt>
                <c:pt idx="48">
                  <c:v>-0.79556869619577042</c:v>
                </c:pt>
                <c:pt idx="49">
                  <c:v>-0.79060344417399464</c:v>
                </c:pt>
                <c:pt idx="50">
                  <c:v>-0.78993048450688685</c:v>
                </c:pt>
                <c:pt idx="51">
                  <c:v>-0.77969609002334561</c:v>
                </c:pt>
                <c:pt idx="52">
                  <c:v>-0.77900559271646896</c:v>
                </c:pt>
                <c:pt idx="53">
                  <c:v>-0.77676494446151012</c:v>
                </c:pt>
                <c:pt idx="54">
                  <c:v>-0.7667496034189738</c:v>
                </c:pt>
                <c:pt idx="55">
                  <c:v>-0.76633661175365764</c:v>
                </c:pt>
                <c:pt idx="56">
                  <c:v>-0.76423486794703943</c:v>
                </c:pt>
                <c:pt idx="57">
                  <c:v>-0.76162026425399332</c:v>
                </c:pt>
                <c:pt idx="58">
                  <c:v>-0.75830661772029262</c:v>
                </c:pt>
                <c:pt idx="59">
                  <c:v>-0.74753194675745438</c:v>
                </c:pt>
                <c:pt idx="60">
                  <c:v>-0.74709892911016262</c:v>
                </c:pt>
                <c:pt idx="61">
                  <c:v>-0.7449003338632032</c:v>
                </c:pt>
                <c:pt idx="62">
                  <c:v>-0.74316735635338893</c:v>
                </c:pt>
                <c:pt idx="63">
                  <c:v>-0.73920795298110353</c:v>
                </c:pt>
                <c:pt idx="64">
                  <c:v>-0.73270392593249456</c:v>
                </c:pt>
                <c:pt idx="65">
                  <c:v>-0.72864335338045993</c:v>
                </c:pt>
                <c:pt idx="66">
                  <c:v>-0.72422675632100053</c:v>
                </c:pt>
                <c:pt idx="67">
                  <c:v>-0.71278994777788252</c:v>
                </c:pt>
                <c:pt idx="68">
                  <c:v>-0.69972137984377292</c:v>
                </c:pt>
                <c:pt idx="69">
                  <c:v>-0.69947650301920916</c:v>
                </c:pt>
                <c:pt idx="70">
                  <c:v>-0.69507814293028125</c:v>
                </c:pt>
                <c:pt idx="71">
                  <c:v>-0.69313882813812233</c:v>
                </c:pt>
                <c:pt idx="72">
                  <c:v>-0.69152140702818343</c:v>
                </c:pt>
                <c:pt idx="73">
                  <c:v>-0.68893897374440671</c:v>
                </c:pt>
                <c:pt idx="74">
                  <c:v>-0.68594426147367704</c:v>
                </c:pt>
                <c:pt idx="75">
                  <c:v>-0.67222811097054547</c:v>
                </c:pt>
                <c:pt idx="76">
                  <c:v>-0.66817902446308586</c:v>
                </c:pt>
                <c:pt idx="77">
                  <c:v>-0.6633987194153077</c:v>
                </c:pt>
                <c:pt idx="78">
                  <c:v>-0.6604467276975714</c:v>
                </c:pt>
                <c:pt idx="79">
                  <c:v>-0.66039396192118294</c:v>
                </c:pt>
                <c:pt idx="80">
                  <c:v>-0.65199124633002725</c:v>
                </c:pt>
                <c:pt idx="81">
                  <c:v>-0.65181879083137595</c:v>
                </c:pt>
                <c:pt idx="82">
                  <c:v>-0.64546261766747026</c:v>
                </c:pt>
                <c:pt idx="83">
                  <c:v>-0.64235327613014848</c:v>
                </c:pt>
                <c:pt idx="84">
                  <c:v>-0.64134417497518492</c:v>
                </c:pt>
                <c:pt idx="85">
                  <c:v>-0.6388303318316233</c:v>
                </c:pt>
                <c:pt idx="86">
                  <c:v>-0.63654981969842539</c:v>
                </c:pt>
                <c:pt idx="87">
                  <c:v>-0.63346969381815477</c:v>
                </c:pt>
                <c:pt idx="88">
                  <c:v>-0.63005061467934298</c:v>
                </c:pt>
                <c:pt idx="89">
                  <c:v>-0.62033775339702424</c:v>
                </c:pt>
                <c:pt idx="90">
                  <c:v>-0.61891436953217016</c:v>
                </c:pt>
                <c:pt idx="91">
                  <c:v>-0.61550411138239514</c:v>
                </c:pt>
                <c:pt idx="92">
                  <c:v>-0.60575124198580488</c:v>
                </c:pt>
                <c:pt idx="93">
                  <c:v>-0.6054117387519391</c:v>
                </c:pt>
                <c:pt idx="94">
                  <c:v>-0.6014815285853683</c:v>
                </c:pt>
                <c:pt idx="95">
                  <c:v>-0.59965345563573247</c:v>
                </c:pt>
                <c:pt idx="96">
                  <c:v>-0.5988586632604882</c:v>
                </c:pt>
                <c:pt idx="97">
                  <c:v>-0.58977843972543154</c:v>
                </c:pt>
                <c:pt idx="98">
                  <c:v>-0.58965668732368393</c:v>
                </c:pt>
                <c:pt idx="99">
                  <c:v>-0.58951821455215137</c:v>
                </c:pt>
                <c:pt idx="100">
                  <c:v>-0.58625983093548895</c:v>
                </c:pt>
                <c:pt idx="101">
                  <c:v>-0.58475033534161325</c:v>
                </c:pt>
                <c:pt idx="102">
                  <c:v>-0.57936463993869847</c:v>
                </c:pt>
                <c:pt idx="103">
                  <c:v>-0.57862977652698566</c:v>
                </c:pt>
                <c:pt idx="104">
                  <c:v>-0.57641059399417194</c:v>
                </c:pt>
                <c:pt idx="105">
                  <c:v>-0.57604312946951675</c:v>
                </c:pt>
                <c:pt idx="106">
                  <c:v>-0.5753642121396032</c:v>
                </c:pt>
                <c:pt idx="107">
                  <c:v>-0.57185740668225749</c:v>
                </c:pt>
                <c:pt idx="108">
                  <c:v>-0.56706274902198239</c:v>
                </c:pt>
                <c:pt idx="109">
                  <c:v>-0.56478942935889775</c:v>
                </c:pt>
                <c:pt idx="110">
                  <c:v>-0.56210437078924547</c:v>
                </c:pt>
                <c:pt idx="111">
                  <c:v>-0.56074770305488841</c:v>
                </c:pt>
                <c:pt idx="112">
                  <c:v>-0.55355894722698973</c:v>
                </c:pt>
                <c:pt idx="113">
                  <c:v>-0.54948906024387267</c:v>
                </c:pt>
                <c:pt idx="114">
                  <c:v>-0.54926894217270794</c:v>
                </c:pt>
                <c:pt idx="115">
                  <c:v>-0.54587439973557506</c:v>
                </c:pt>
                <c:pt idx="116">
                  <c:v>-0.54404033477587643</c:v>
                </c:pt>
                <c:pt idx="117">
                  <c:v>-0.54259893532357806</c:v>
                </c:pt>
                <c:pt idx="118">
                  <c:v>-0.53176917229243448</c:v>
                </c:pt>
                <c:pt idx="119">
                  <c:v>-0.52208082174365877</c:v>
                </c:pt>
                <c:pt idx="120">
                  <c:v>-0.51500984452762211</c:v>
                </c:pt>
                <c:pt idx="121">
                  <c:v>-0.51218009185809343</c:v>
                </c:pt>
                <c:pt idx="122">
                  <c:v>-0.50752385203867267</c:v>
                </c:pt>
                <c:pt idx="123">
                  <c:v>-0.50368466934876954</c:v>
                </c:pt>
                <c:pt idx="124">
                  <c:v>-0.49678176518310879</c:v>
                </c:pt>
                <c:pt idx="125">
                  <c:v>-0.49190110875431792</c:v>
                </c:pt>
                <c:pt idx="126">
                  <c:v>-0.46858217834215332</c:v>
                </c:pt>
                <c:pt idx="127">
                  <c:v>-0.46685691323570566</c:v>
                </c:pt>
                <c:pt idx="128">
                  <c:v>-0.46471496901481668</c:v>
                </c:pt>
                <c:pt idx="129">
                  <c:v>-0.46447916072906281</c:v>
                </c:pt>
                <c:pt idx="130">
                  <c:v>-0.46218015604968898</c:v>
                </c:pt>
                <c:pt idx="131">
                  <c:v>-0.46215887660111243</c:v>
                </c:pt>
                <c:pt idx="132">
                  <c:v>-0.45623446596919082</c:v>
                </c:pt>
                <c:pt idx="133">
                  <c:v>-0.45532480324720592</c:v>
                </c:pt>
                <c:pt idx="134">
                  <c:v>-0.45521905003713892</c:v>
                </c:pt>
                <c:pt idx="135">
                  <c:v>-0.45221506659650546</c:v>
                </c:pt>
                <c:pt idx="136">
                  <c:v>-0.44943952121628028</c:v>
                </c:pt>
                <c:pt idx="137">
                  <c:v>-0.44381287923213519</c:v>
                </c:pt>
                <c:pt idx="138">
                  <c:v>-0.44292966667758282</c:v>
                </c:pt>
                <c:pt idx="139">
                  <c:v>-0.44259147832082091</c:v>
                </c:pt>
                <c:pt idx="140">
                  <c:v>-0.44255705762845454</c:v>
                </c:pt>
                <c:pt idx="141">
                  <c:v>-0.43941688967585191</c:v>
                </c:pt>
                <c:pt idx="142">
                  <c:v>-0.43411685803292754</c:v>
                </c:pt>
                <c:pt idx="143">
                  <c:v>-0.43297452649361312</c:v>
                </c:pt>
                <c:pt idx="144">
                  <c:v>-0.43006163242962159</c:v>
                </c:pt>
                <c:pt idx="145">
                  <c:v>-0.42992447518096233</c:v>
                </c:pt>
                <c:pt idx="146">
                  <c:v>-0.4211358811806063</c:v>
                </c:pt>
                <c:pt idx="147">
                  <c:v>-0.41892876613938679</c:v>
                </c:pt>
                <c:pt idx="148">
                  <c:v>-0.41859261717684881</c:v>
                </c:pt>
                <c:pt idx="149">
                  <c:v>-0.40444642103016037</c:v>
                </c:pt>
                <c:pt idx="150">
                  <c:v>-0.40400110771977316</c:v>
                </c:pt>
                <c:pt idx="151">
                  <c:v>-0.40368202539140774</c:v>
                </c:pt>
                <c:pt idx="152">
                  <c:v>-0.39453891288814913</c:v>
                </c:pt>
                <c:pt idx="153">
                  <c:v>-0.38742509793999158</c:v>
                </c:pt>
                <c:pt idx="154">
                  <c:v>-0.38627837080065985</c:v>
                </c:pt>
                <c:pt idx="155">
                  <c:v>-0.38252796871813732</c:v>
                </c:pt>
                <c:pt idx="156">
                  <c:v>-0.36903278481418833</c:v>
                </c:pt>
                <c:pt idx="157">
                  <c:v>-0.36826040883640077</c:v>
                </c:pt>
                <c:pt idx="158">
                  <c:v>-0.36816096479850757</c:v>
                </c:pt>
                <c:pt idx="159">
                  <c:v>-0.36668735205868819</c:v>
                </c:pt>
                <c:pt idx="160">
                  <c:v>-0.35782287537172341</c:v>
                </c:pt>
                <c:pt idx="161">
                  <c:v>-0.35127723401304789</c:v>
                </c:pt>
                <c:pt idx="162">
                  <c:v>-0.3456606382220575</c:v>
                </c:pt>
                <c:pt idx="163">
                  <c:v>-0.34219918207939393</c:v>
                </c:pt>
                <c:pt idx="164">
                  <c:v>-0.34158370802583771</c:v>
                </c:pt>
                <c:pt idx="165">
                  <c:v>-0.3413814704212228</c:v>
                </c:pt>
                <c:pt idx="166">
                  <c:v>-0.33891579010483142</c:v>
                </c:pt>
                <c:pt idx="167">
                  <c:v>-0.33811482895306311</c:v>
                </c:pt>
                <c:pt idx="168">
                  <c:v>-0.33020067828733035</c:v>
                </c:pt>
                <c:pt idx="169">
                  <c:v>-0.33005323653837437</c:v>
                </c:pt>
                <c:pt idx="170">
                  <c:v>-0.32419388631484547</c:v>
                </c:pt>
                <c:pt idx="171">
                  <c:v>-0.3241461268685768</c:v>
                </c:pt>
                <c:pt idx="172">
                  <c:v>-0.32255983091968443</c:v>
                </c:pt>
                <c:pt idx="173">
                  <c:v>-0.3220156216995087</c:v>
                </c:pt>
                <c:pt idx="174">
                  <c:v>-0.31953890995282452</c:v>
                </c:pt>
                <c:pt idx="175">
                  <c:v>-0.30765345080419371</c:v>
                </c:pt>
                <c:pt idx="176">
                  <c:v>-0.30610390436110824</c:v>
                </c:pt>
                <c:pt idx="177">
                  <c:v>-0.30200358040911879</c:v>
                </c:pt>
                <c:pt idx="178">
                  <c:v>-0.29597575736612813</c:v>
                </c:pt>
                <c:pt idx="179">
                  <c:v>-0.29532017863541093</c:v>
                </c:pt>
                <c:pt idx="180">
                  <c:v>-0.29502732973033563</c:v>
                </c:pt>
                <c:pt idx="181">
                  <c:v>-0.29420239520188263</c:v>
                </c:pt>
                <c:pt idx="182">
                  <c:v>-0.2899873559530004</c:v>
                </c:pt>
                <c:pt idx="183">
                  <c:v>-0.28912120951840992</c:v>
                </c:pt>
                <c:pt idx="184">
                  <c:v>-0.2868636791718393</c:v>
                </c:pt>
                <c:pt idx="185">
                  <c:v>-0.2777188273303044</c:v>
                </c:pt>
                <c:pt idx="186">
                  <c:v>-0.26298414402517101</c:v>
                </c:pt>
                <c:pt idx="187">
                  <c:v>-0.25258275020520071</c:v>
                </c:pt>
                <c:pt idx="188">
                  <c:v>-0.25236151769494386</c:v>
                </c:pt>
                <c:pt idx="189">
                  <c:v>-0.24840836269185473</c:v>
                </c:pt>
                <c:pt idx="190">
                  <c:v>-0.24606972013899719</c:v>
                </c:pt>
                <c:pt idx="191">
                  <c:v>-0.23918559160278896</c:v>
                </c:pt>
                <c:pt idx="192">
                  <c:v>-0.23323573792104102</c:v>
                </c:pt>
                <c:pt idx="193">
                  <c:v>-0.22237039391923319</c:v>
                </c:pt>
                <c:pt idx="194">
                  <c:v>-0.20893733243369073</c:v>
                </c:pt>
                <c:pt idx="195">
                  <c:v>-0.20503882076964164</c:v>
                </c:pt>
                <c:pt idx="196">
                  <c:v>-0.2043550376134331</c:v>
                </c:pt>
                <c:pt idx="197">
                  <c:v>-0.19768147668265046</c:v>
                </c:pt>
                <c:pt idx="198">
                  <c:v>-0.19140455010747282</c:v>
                </c:pt>
                <c:pt idx="199">
                  <c:v>-0.16968099447226193</c:v>
                </c:pt>
                <c:pt idx="200">
                  <c:v>-0.16964537347731756</c:v>
                </c:pt>
                <c:pt idx="201">
                  <c:v>-0.16879703965534687</c:v>
                </c:pt>
                <c:pt idx="202">
                  <c:v>-0.16826784219246749</c:v>
                </c:pt>
                <c:pt idx="203">
                  <c:v>-0.16677154074264711</c:v>
                </c:pt>
                <c:pt idx="204">
                  <c:v>-0.15459081945994479</c:v>
                </c:pt>
                <c:pt idx="205">
                  <c:v>-0.15212411736816289</c:v>
                </c:pt>
                <c:pt idx="206">
                  <c:v>-0.14777324559892802</c:v>
                </c:pt>
                <c:pt idx="207">
                  <c:v>-0.14504451462985291</c:v>
                </c:pt>
                <c:pt idx="208">
                  <c:v>-0.14354649476982373</c:v>
                </c:pt>
                <c:pt idx="209">
                  <c:v>-0.14158624510697493</c:v>
                </c:pt>
                <c:pt idx="210">
                  <c:v>-0.13778998766004347</c:v>
                </c:pt>
                <c:pt idx="211">
                  <c:v>-0.13598788358178493</c:v>
                </c:pt>
                <c:pt idx="212">
                  <c:v>-0.12924983375345289</c:v>
                </c:pt>
                <c:pt idx="213">
                  <c:v>-0.12804653068213034</c:v>
                </c:pt>
                <c:pt idx="214">
                  <c:v>-0.12691245570248544</c:v>
                </c:pt>
                <c:pt idx="215">
                  <c:v>-0.11432387402841848</c:v>
                </c:pt>
                <c:pt idx="216">
                  <c:v>-0.10871292885710382</c:v>
                </c:pt>
                <c:pt idx="217">
                  <c:v>-0.10733784815505154</c:v>
                </c:pt>
                <c:pt idx="218">
                  <c:v>-0.10477972003930125</c:v>
                </c:pt>
                <c:pt idx="219">
                  <c:v>-0.10356566754414986</c:v>
                </c:pt>
                <c:pt idx="220">
                  <c:v>-0.10338175015586781</c:v>
                </c:pt>
                <c:pt idx="221">
                  <c:v>-0.10049017366295132</c:v>
                </c:pt>
                <c:pt idx="222">
                  <c:v>-0.10019933003928072</c:v>
                </c:pt>
                <c:pt idx="223">
                  <c:v>-9.9578929710305797E-2</c:v>
                </c:pt>
                <c:pt idx="224">
                  <c:v>-9.9365905805647525E-2</c:v>
                </c:pt>
                <c:pt idx="225">
                  <c:v>-9.9165445221565118E-2</c:v>
                </c:pt>
                <c:pt idx="226">
                  <c:v>-9.8666171970792638E-2</c:v>
                </c:pt>
                <c:pt idx="227">
                  <c:v>-9.5415827575423995E-2</c:v>
                </c:pt>
                <c:pt idx="228">
                  <c:v>-9.5270402698784062E-2</c:v>
                </c:pt>
                <c:pt idx="229">
                  <c:v>-9.3221904931196864E-2</c:v>
                </c:pt>
                <c:pt idx="230">
                  <c:v>-9.0322522491713908E-2</c:v>
                </c:pt>
                <c:pt idx="231">
                  <c:v>-9.029723272079071E-2</c:v>
                </c:pt>
                <c:pt idx="232">
                  <c:v>-8.9725010003494754E-2</c:v>
                </c:pt>
                <c:pt idx="233">
                  <c:v>-8.7888656371934104E-2</c:v>
                </c:pt>
                <c:pt idx="234">
                  <c:v>-8.2724858708177695E-2</c:v>
                </c:pt>
                <c:pt idx="235">
                  <c:v>-8.0546062438083821E-2</c:v>
                </c:pt>
                <c:pt idx="236">
                  <c:v>-7.9333318239207751E-2</c:v>
                </c:pt>
                <c:pt idx="237">
                  <c:v>-7.6678320437527203E-2</c:v>
                </c:pt>
                <c:pt idx="238">
                  <c:v>-7.6277595032764323E-2</c:v>
                </c:pt>
                <c:pt idx="239">
                  <c:v>-7.5677740833442586E-2</c:v>
                </c:pt>
                <c:pt idx="240">
                  <c:v>-6.5789720917920569E-2</c:v>
                </c:pt>
                <c:pt idx="241">
                  <c:v>-4.403041632927418E-2</c:v>
                </c:pt>
                <c:pt idx="242">
                  <c:v>-4.0769792723178933E-2</c:v>
                </c:pt>
                <c:pt idx="243">
                  <c:v>-3.5641576196199454E-2</c:v>
                </c:pt>
                <c:pt idx="244">
                  <c:v>-3.3580272771466024E-2</c:v>
                </c:pt>
                <c:pt idx="245">
                  <c:v>-3.184943656219863E-2</c:v>
                </c:pt>
                <c:pt idx="246">
                  <c:v>-2.9297319167828739E-2</c:v>
                </c:pt>
                <c:pt idx="247">
                  <c:v>-2.6980783362191119E-2</c:v>
                </c:pt>
                <c:pt idx="248">
                  <c:v>-2.5717025410268546E-2</c:v>
                </c:pt>
                <c:pt idx="249">
                  <c:v>-1.8236700379650417E-2</c:v>
                </c:pt>
                <c:pt idx="250">
                  <c:v>-1.1991828147545514E-2</c:v>
                </c:pt>
                <c:pt idx="251">
                  <c:v>-1.0308601796264805E-2</c:v>
                </c:pt>
                <c:pt idx="252">
                  <c:v>-8.8076608031051329E-3</c:v>
                </c:pt>
                <c:pt idx="253">
                  <c:v>-8.0563084711735566E-3</c:v>
                </c:pt>
                <c:pt idx="254">
                  <c:v>-7.1135327721605357E-3</c:v>
                </c:pt>
                <c:pt idx="255">
                  <c:v>-6.16873810924079E-3</c:v>
                </c:pt>
                <c:pt idx="256">
                  <c:v>-1.9592168294897405E-3</c:v>
                </c:pt>
                <c:pt idx="257">
                  <c:v>-1.9318997975790175E-3</c:v>
                </c:pt>
                <c:pt idx="258">
                  <c:v>-1.5889088159604103E-3</c:v>
                </c:pt>
                <c:pt idx="259">
                  <c:v>5.096568500339238E-3</c:v>
                </c:pt>
                <c:pt idx="260">
                  <c:v>1.6351115619617218E-2</c:v>
                </c:pt>
                <c:pt idx="261">
                  <c:v>2.4033175380148153E-2</c:v>
                </c:pt>
                <c:pt idx="262">
                  <c:v>3.0651867087243101E-2</c:v>
                </c:pt>
                <c:pt idx="263">
                  <c:v>3.5715915435003742E-2</c:v>
                </c:pt>
                <c:pt idx="264">
                  <c:v>3.961883086589868E-2</c:v>
                </c:pt>
                <c:pt idx="265">
                  <c:v>4.2494213167260098E-2</c:v>
                </c:pt>
                <c:pt idx="266">
                  <c:v>4.581782150550584E-2</c:v>
                </c:pt>
                <c:pt idx="267">
                  <c:v>4.8243745886441758E-2</c:v>
                </c:pt>
                <c:pt idx="268">
                  <c:v>5.2306602677872904E-2</c:v>
                </c:pt>
                <c:pt idx="269">
                  <c:v>5.6503279025554187E-2</c:v>
                </c:pt>
                <c:pt idx="270">
                  <c:v>5.6726395493103432E-2</c:v>
                </c:pt>
                <c:pt idx="271">
                  <c:v>6.0000908353359472E-2</c:v>
                </c:pt>
                <c:pt idx="272">
                  <c:v>6.8213303070381981E-2</c:v>
                </c:pt>
                <c:pt idx="273">
                  <c:v>7.999677505432401E-2</c:v>
                </c:pt>
                <c:pt idx="274">
                  <c:v>8.4101843442850432E-2</c:v>
                </c:pt>
                <c:pt idx="275">
                  <c:v>8.9273692900438295E-2</c:v>
                </c:pt>
                <c:pt idx="276">
                  <c:v>9.2058430636928534E-2</c:v>
                </c:pt>
                <c:pt idx="277">
                  <c:v>9.605396032013358E-2</c:v>
                </c:pt>
                <c:pt idx="278">
                  <c:v>9.874813130667448E-2</c:v>
                </c:pt>
                <c:pt idx="279">
                  <c:v>0.10446459012351861</c:v>
                </c:pt>
                <c:pt idx="280">
                  <c:v>0.105281485798151</c:v>
                </c:pt>
                <c:pt idx="281">
                  <c:v>0.10646910780898233</c:v>
                </c:pt>
                <c:pt idx="282">
                  <c:v>0.10896012383022091</c:v>
                </c:pt>
                <c:pt idx="283">
                  <c:v>0.1091379661461267</c:v>
                </c:pt>
                <c:pt idx="284">
                  <c:v>0.10956323516055022</c:v>
                </c:pt>
                <c:pt idx="285">
                  <c:v>0.12262598533872171</c:v>
                </c:pt>
                <c:pt idx="286">
                  <c:v>0.12357934106355262</c:v>
                </c:pt>
                <c:pt idx="287">
                  <c:v>0.12960259612166647</c:v>
                </c:pt>
                <c:pt idx="288">
                  <c:v>0.13056101291316113</c:v>
                </c:pt>
                <c:pt idx="289">
                  <c:v>0.13478465154893637</c:v>
                </c:pt>
                <c:pt idx="290">
                  <c:v>0.14425460448245597</c:v>
                </c:pt>
                <c:pt idx="291">
                  <c:v>0.14428148514719341</c:v>
                </c:pt>
                <c:pt idx="292">
                  <c:v>0.14507963805066049</c:v>
                </c:pt>
                <c:pt idx="293">
                  <c:v>0.15546061536158717</c:v>
                </c:pt>
                <c:pt idx="294">
                  <c:v>0.15845346192160092</c:v>
                </c:pt>
                <c:pt idx="295">
                  <c:v>0.16594726351440414</c:v>
                </c:pt>
                <c:pt idx="296">
                  <c:v>0.16626983902972725</c:v>
                </c:pt>
                <c:pt idx="297">
                  <c:v>0.16842223794069366</c:v>
                </c:pt>
                <c:pt idx="298">
                  <c:v>0.17126579517697693</c:v>
                </c:pt>
                <c:pt idx="299">
                  <c:v>0.17663545437829886</c:v>
                </c:pt>
                <c:pt idx="300">
                  <c:v>0.17773656250660808</c:v>
                </c:pt>
                <c:pt idx="301">
                  <c:v>0.17820434005089636</c:v>
                </c:pt>
                <c:pt idx="302">
                  <c:v>0.19007871963265921</c:v>
                </c:pt>
                <c:pt idx="303">
                  <c:v>0.19335472428726308</c:v>
                </c:pt>
                <c:pt idx="304">
                  <c:v>0.19821300903640382</c:v>
                </c:pt>
                <c:pt idx="305">
                  <c:v>0.20017376211868454</c:v>
                </c:pt>
                <c:pt idx="306">
                  <c:v>0.20149770839516101</c:v>
                </c:pt>
                <c:pt idx="307">
                  <c:v>0.20296834178736245</c:v>
                </c:pt>
                <c:pt idx="308">
                  <c:v>0.20410275872597849</c:v>
                </c:pt>
                <c:pt idx="309">
                  <c:v>0.21416359564429444</c:v>
                </c:pt>
                <c:pt idx="310">
                  <c:v>0.2177899466197093</c:v>
                </c:pt>
                <c:pt idx="311">
                  <c:v>0.21960003919754989</c:v>
                </c:pt>
                <c:pt idx="312">
                  <c:v>0.22493224017262547</c:v>
                </c:pt>
                <c:pt idx="313">
                  <c:v>0.23131200710273436</c:v>
                </c:pt>
                <c:pt idx="314">
                  <c:v>0.24681646933010826</c:v>
                </c:pt>
                <c:pt idx="315">
                  <c:v>0.25584397346456278</c:v>
                </c:pt>
                <c:pt idx="316">
                  <c:v>0.2604487835601017</c:v>
                </c:pt>
                <c:pt idx="317">
                  <c:v>0.26238300222997357</c:v>
                </c:pt>
                <c:pt idx="318">
                  <c:v>0.26459036080682474</c:v>
                </c:pt>
                <c:pt idx="319">
                  <c:v>0.26942033541585708</c:v>
                </c:pt>
                <c:pt idx="320">
                  <c:v>0.27531624934626397</c:v>
                </c:pt>
                <c:pt idx="321">
                  <c:v>0.27740407554636248</c:v>
                </c:pt>
                <c:pt idx="322">
                  <c:v>0.27890426620415298</c:v>
                </c:pt>
                <c:pt idx="323">
                  <c:v>0.27938001398692447</c:v>
                </c:pt>
                <c:pt idx="324">
                  <c:v>0.2841785590726067</c:v>
                </c:pt>
                <c:pt idx="325">
                  <c:v>0.28508511801291747</c:v>
                </c:pt>
                <c:pt idx="326">
                  <c:v>0.2856983927020722</c:v>
                </c:pt>
                <c:pt idx="327">
                  <c:v>0.28941484952860574</c:v>
                </c:pt>
                <c:pt idx="328">
                  <c:v>0.29676009085199784</c:v>
                </c:pt>
                <c:pt idx="329">
                  <c:v>0.30392968561399147</c:v>
                </c:pt>
                <c:pt idx="330">
                  <c:v>0.30472526103078335</c:v>
                </c:pt>
                <c:pt idx="331">
                  <c:v>0.30482938716376795</c:v>
                </c:pt>
                <c:pt idx="332">
                  <c:v>0.3054499353391158</c:v>
                </c:pt>
                <c:pt idx="333">
                  <c:v>0.31105906082138612</c:v>
                </c:pt>
                <c:pt idx="334">
                  <c:v>0.3126429389452392</c:v>
                </c:pt>
                <c:pt idx="335">
                  <c:v>0.31362756381816648</c:v>
                </c:pt>
                <c:pt idx="336">
                  <c:v>0.31933151892462819</c:v>
                </c:pt>
                <c:pt idx="337">
                  <c:v>0.32562059763942086</c:v>
                </c:pt>
                <c:pt idx="338">
                  <c:v>0.32991674218500644</c:v>
                </c:pt>
                <c:pt idx="339">
                  <c:v>0.33860151839900077</c:v>
                </c:pt>
                <c:pt idx="340">
                  <c:v>0.3449119226318158</c:v>
                </c:pt>
                <c:pt idx="341">
                  <c:v>0.35225865052387406</c:v>
                </c:pt>
                <c:pt idx="342">
                  <c:v>0.35366811638638618</c:v>
                </c:pt>
                <c:pt idx="343">
                  <c:v>0.35631870937487142</c:v>
                </c:pt>
                <c:pt idx="344">
                  <c:v>0.36102021486553237</c:v>
                </c:pt>
                <c:pt idx="345">
                  <c:v>0.36789250668272988</c:v>
                </c:pt>
                <c:pt idx="346">
                  <c:v>0.37690016775992019</c:v>
                </c:pt>
                <c:pt idx="347">
                  <c:v>0.38095057346528582</c:v>
                </c:pt>
                <c:pt idx="348">
                  <c:v>0.38518371909666715</c:v>
                </c:pt>
                <c:pt idx="349">
                  <c:v>0.38855390128338119</c:v>
                </c:pt>
                <c:pt idx="350">
                  <c:v>0.3943767869942123</c:v>
                </c:pt>
                <c:pt idx="351">
                  <c:v>0.3984989390542264</c:v>
                </c:pt>
                <c:pt idx="352">
                  <c:v>0.39963436571418476</c:v>
                </c:pt>
                <c:pt idx="353">
                  <c:v>0.39985308854880852</c:v>
                </c:pt>
                <c:pt idx="354">
                  <c:v>0.4001457591109896</c:v>
                </c:pt>
                <c:pt idx="355">
                  <c:v>0.40053378616590796</c:v>
                </c:pt>
                <c:pt idx="356">
                  <c:v>0.40087815855451359</c:v>
                </c:pt>
                <c:pt idx="357">
                  <c:v>0.40497364439729466</c:v>
                </c:pt>
                <c:pt idx="358">
                  <c:v>0.40538415559204277</c:v>
                </c:pt>
                <c:pt idx="359">
                  <c:v>0.41106284376938151</c:v>
                </c:pt>
                <c:pt idx="360">
                  <c:v>0.41143817407963756</c:v>
                </c:pt>
                <c:pt idx="361">
                  <c:v>0.41344747562895834</c:v>
                </c:pt>
                <c:pt idx="362">
                  <c:v>0.41559735081650273</c:v>
                </c:pt>
                <c:pt idx="363">
                  <c:v>0.41594290473140383</c:v>
                </c:pt>
                <c:pt idx="364">
                  <c:v>0.4171780915975698</c:v>
                </c:pt>
                <c:pt idx="365">
                  <c:v>0.41899226852993454</c:v>
                </c:pt>
                <c:pt idx="366">
                  <c:v>0.42006774509120959</c:v>
                </c:pt>
                <c:pt idx="367">
                  <c:v>0.42324953337988425</c:v>
                </c:pt>
                <c:pt idx="368">
                  <c:v>0.42379839802121388</c:v>
                </c:pt>
                <c:pt idx="369">
                  <c:v>0.42413373952771338</c:v>
                </c:pt>
                <c:pt idx="370">
                  <c:v>0.42864354576378849</c:v>
                </c:pt>
                <c:pt idx="371">
                  <c:v>0.43191066679124934</c:v>
                </c:pt>
                <c:pt idx="372">
                  <c:v>0.43624705301026645</c:v>
                </c:pt>
                <c:pt idx="373">
                  <c:v>0.43652114145597531</c:v>
                </c:pt>
                <c:pt idx="374">
                  <c:v>0.44548957469626838</c:v>
                </c:pt>
                <c:pt idx="375">
                  <c:v>0.44639217177081747</c:v>
                </c:pt>
                <c:pt idx="376">
                  <c:v>0.45561269587468711</c:v>
                </c:pt>
                <c:pt idx="377">
                  <c:v>0.45567446963747282</c:v>
                </c:pt>
                <c:pt idx="378">
                  <c:v>0.46507024000040031</c:v>
                </c:pt>
                <c:pt idx="379">
                  <c:v>0.46822930485197833</c:v>
                </c:pt>
                <c:pt idx="380">
                  <c:v>0.47311977283555651</c:v>
                </c:pt>
                <c:pt idx="381">
                  <c:v>0.47404182169053422</c:v>
                </c:pt>
                <c:pt idx="382">
                  <c:v>0.48053601252526157</c:v>
                </c:pt>
                <c:pt idx="383">
                  <c:v>0.48247508429068553</c:v>
                </c:pt>
                <c:pt idx="384">
                  <c:v>0.4875916666747655</c:v>
                </c:pt>
                <c:pt idx="385">
                  <c:v>0.48866140858753004</c:v>
                </c:pt>
                <c:pt idx="386">
                  <c:v>0.49447450722193631</c:v>
                </c:pt>
                <c:pt idx="387">
                  <c:v>0.49819408964484246</c:v>
                </c:pt>
                <c:pt idx="388">
                  <c:v>0.50096197711386048</c:v>
                </c:pt>
                <c:pt idx="389">
                  <c:v>0.50185715751374427</c:v>
                </c:pt>
                <c:pt idx="390">
                  <c:v>0.51032928821294377</c:v>
                </c:pt>
                <c:pt idx="391">
                  <c:v>0.51922080571354634</c:v>
                </c:pt>
                <c:pt idx="392">
                  <c:v>0.52225653490066892</c:v>
                </c:pt>
                <c:pt idx="393">
                  <c:v>0.5224245126118312</c:v>
                </c:pt>
                <c:pt idx="394">
                  <c:v>0.52546123823654844</c:v>
                </c:pt>
                <c:pt idx="395">
                  <c:v>0.53383105284190879</c:v>
                </c:pt>
                <c:pt idx="396">
                  <c:v>0.53713451251334843</c:v>
                </c:pt>
                <c:pt idx="397">
                  <c:v>0.53845921683900411</c:v>
                </c:pt>
                <c:pt idx="398">
                  <c:v>0.54751622016883483</c:v>
                </c:pt>
                <c:pt idx="399">
                  <c:v>0.55112210099525516</c:v>
                </c:pt>
                <c:pt idx="400">
                  <c:v>0.56428207499401473</c:v>
                </c:pt>
                <c:pt idx="401">
                  <c:v>0.56560109106349654</c:v>
                </c:pt>
                <c:pt idx="402">
                  <c:v>0.56847270854909882</c:v>
                </c:pt>
                <c:pt idx="403">
                  <c:v>0.56902952746162794</c:v>
                </c:pt>
                <c:pt idx="404">
                  <c:v>0.57284823209129376</c:v>
                </c:pt>
                <c:pt idx="405">
                  <c:v>0.57301397370959517</c:v>
                </c:pt>
                <c:pt idx="406">
                  <c:v>0.57536616401202401</c:v>
                </c:pt>
                <c:pt idx="407">
                  <c:v>0.57901701410609974</c:v>
                </c:pt>
                <c:pt idx="408">
                  <c:v>0.58121162097704038</c:v>
                </c:pt>
                <c:pt idx="409">
                  <c:v>0.58146680738898837</c:v>
                </c:pt>
                <c:pt idx="410">
                  <c:v>0.59181502940724573</c:v>
                </c:pt>
                <c:pt idx="411">
                  <c:v>0.59212360201031533</c:v>
                </c:pt>
                <c:pt idx="412">
                  <c:v>0.59852272941124074</c:v>
                </c:pt>
                <c:pt idx="413">
                  <c:v>0.6225213230705704</c:v>
                </c:pt>
                <c:pt idx="414">
                  <c:v>0.62325590660328722</c:v>
                </c:pt>
                <c:pt idx="415">
                  <c:v>0.62547439468750121</c:v>
                </c:pt>
                <c:pt idx="416">
                  <c:v>0.64031319742721582</c:v>
                </c:pt>
                <c:pt idx="417">
                  <c:v>0.64708376421736347</c:v>
                </c:pt>
                <c:pt idx="418">
                  <c:v>0.65523358098070816</c:v>
                </c:pt>
                <c:pt idx="419">
                  <c:v>0.65580637647983053</c:v>
                </c:pt>
                <c:pt idx="420">
                  <c:v>0.66290413953856442</c:v>
                </c:pt>
                <c:pt idx="421">
                  <c:v>0.66593246857349286</c:v>
                </c:pt>
                <c:pt idx="422">
                  <c:v>0.6843632574204197</c:v>
                </c:pt>
                <c:pt idx="423">
                  <c:v>0.68880155061736859</c:v>
                </c:pt>
                <c:pt idx="424">
                  <c:v>0.68969504749298927</c:v>
                </c:pt>
                <c:pt idx="425">
                  <c:v>0.69101889557314289</c:v>
                </c:pt>
                <c:pt idx="426">
                  <c:v>0.70431965978802835</c:v>
                </c:pt>
                <c:pt idx="427">
                  <c:v>0.70506759712568812</c:v>
                </c:pt>
                <c:pt idx="428">
                  <c:v>0.70912208999597826</c:v>
                </c:pt>
                <c:pt idx="429">
                  <c:v>0.71118400118181913</c:v>
                </c:pt>
                <c:pt idx="430">
                  <c:v>0.71331548482144402</c:v>
                </c:pt>
                <c:pt idx="431">
                  <c:v>0.7139885112845219</c:v>
                </c:pt>
                <c:pt idx="432">
                  <c:v>0.71644222517241207</c:v>
                </c:pt>
                <c:pt idx="433">
                  <c:v>0.72020423114995147</c:v>
                </c:pt>
                <c:pt idx="434">
                  <c:v>0.72836553572387275</c:v>
                </c:pt>
                <c:pt idx="435">
                  <c:v>0.73232591183881102</c:v>
                </c:pt>
                <c:pt idx="436">
                  <c:v>0.73338959720448149</c:v>
                </c:pt>
                <c:pt idx="437">
                  <c:v>0.73763449882191456</c:v>
                </c:pt>
                <c:pt idx="438">
                  <c:v>0.7521887108340668</c:v>
                </c:pt>
                <c:pt idx="439">
                  <c:v>0.75485499665156652</c:v>
                </c:pt>
                <c:pt idx="440">
                  <c:v>0.75845707121856143</c:v>
                </c:pt>
                <c:pt idx="441">
                  <c:v>0.75857508797715134</c:v>
                </c:pt>
                <c:pt idx="442">
                  <c:v>0.76311403797547639</c:v>
                </c:pt>
                <c:pt idx="443">
                  <c:v>0.76529889911050075</c:v>
                </c:pt>
                <c:pt idx="444">
                  <c:v>0.76726477289307904</c:v>
                </c:pt>
                <c:pt idx="445">
                  <c:v>0.77237145626792891</c:v>
                </c:pt>
                <c:pt idx="446">
                  <c:v>0.77566549428490905</c:v>
                </c:pt>
                <c:pt idx="447">
                  <c:v>0.78654306515559003</c:v>
                </c:pt>
                <c:pt idx="448">
                  <c:v>0.78820851157762628</c:v>
                </c:pt>
                <c:pt idx="449">
                  <c:v>0.80156635078397631</c:v>
                </c:pt>
                <c:pt idx="450">
                  <c:v>0.80177091359399988</c:v>
                </c:pt>
                <c:pt idx="451">
                  <c:v>0.80640333201748016</c:v>
                </c:pt>
                <c:pt idx="452">
                  <c:v>0.80679396746290544</c:v>
                </c:pt>
                <c:pt idx="453">
                  <c:v>0.8078504491769174</c:v>
                </c:pt>
                <c:pt idx="454">
                  <c:v>0.81234726897357001</c:v>
                </c:pt>
                <c:pt idx="455">
                  <c:v>0.81240989501376726</c:v>
                </c:pt>
                <c:pt idx="456">
                  <c:v>0.81975611466360121</c:v>
                </c:pt>
                <c:pt idx="457">
                  <c:v>0.82156532585932629</c:v>
                </c:pt>
                <c:pt idx="458">
                  <c:v>0.82422935280790721</c:v>
                </c:pt>
                <c:pt idx="459">
                  <c:v>0.82461931942006772</c:v>
                </c:pt>
                <c:pt idx="460">
                  <c:v>0.82524761317827688</c:v>
                </c:pt>
                <c:pt idx="461">
                  <c:v>0.84996856278064437</c:v>
                </c:pt>
                <c:pt idx="462">
                  <c:v>0.85876583922885175</c:v>
                </c:pt>
                <c:pt idx="463">
                  <c:v>0.86192118286878006</c:v>
                </c:pt>
                <c:pt idx="464">
                  <c:v>0.86526701689152197</c:v>
                </c:pt>
                <c:pt idx="465">
                  <c:v>0.86646057759272588</c:v>
                </c:pt>
                <c:pt idx="466">
                  <c:v>0.86736821677069043</c:v>
                </c:pt>
                <c:pt idx="467">
                  <c:v>0.87071353596203505</c:v>
                </c:pt>
                <c:pt idx="468">
                  <c:v>0.87191227231929713</c:v>
                </c:pt>
                <c:pt idx="469">
                  <c:v>0.87762800893390525</c:v>
                </c:pt>
                <c:pt idx="470">
                  <c:v>0.87767993536837086</c:v>
                </c:pt>
                <c:pt idx="471">
                  <c:v>0.87994902286469068</c:v>
                </c:pt>
                <c:pt idx="472">
                  <c:v>0.88136814014125475</c:v>
                </c:pt>
                <c:pt idx="473">
                  <c:v>0.88138017463922158</c:v>
                </c:pt>
                <c:pt idx="474">
                  <c:v>0.88317556368991323</c:v>
                </c:pt>
                <c:pt idx="475">
                  <c:v>0.8875152526955814</c:v>
                </c:pt>
                <c:pt idx="476">
                  <c:v>0.88954740907501195</c:v>
                </c:pt>
                <c:pt idx="477">
                  <c:v>0.89349265784436693</c:v>
                </c:pt>
                <c:pt idx="478">
                  <c:v>0.89463023852366397</c:v>
                </c:pt>
                <c:pt idx="479">
                  <c:v>0.89847269348797187</c:v>
                </c:pt>
                <c:pt idx="480">
                  <c:v>0.90152957998348349</c:v>
                </c:pt>
                <c:pt idx="481">
                  <c:v>0.90399671530922943</c:v>
                </c:pt>
                <c:pt idx="482">
                  <c:v>0.90669787895406473</c:v>
                </c:pt>
                <c:pt idx="483">
                  <c:v>0.9072644580258975</c:v>
                </c:pt>
                <c:pt idx="484">
                  <c:v>0.90805376086807343</c:v>
                </c:pt>
                <c:pt idx="485">
                  <c:v>0.90896408191004041</c:v>
                </c:pt>
                <c:pt idx="486">
                  <c:v>0.90977800713774815</c:v>
                </c:pt>
                <c:pt idx="487">
                  <c:v>0.91020463883465252</c:v>
                </c:pt>
                <c:pt idx="488">
                  <c:v>0.91193214326818084</c:v>
                </c:pt>
                <c:pt idx="489">
                  <c:v>0.92364025585072307</c:v>
                </c:pt>
                <c:pt idx="490">
                  <c:v>0.92967719639312296</c:v>
                </c:pt>
                <c:pt idx="491">
                  <c:v>0.93179024597484306</c:v>
                </c:pt>
                <c:pt idx="492">
                  <c:v>0.93435889334923594</c:v>
                </c:pt>
                <c:pt idx="493">
                  <c:v>0.94287322031354903</c:v>
                </c:pt>
                <c:pt idx="494">
                  <c:v>0.94929933181312598</c:v>
                </c:pt>
                <c:pt idx="495">
                  <c:v>0.96591990619860479</c:v>
                </c:pt>
                <c:pt idx="496">
                  <c:v>0.97510374736191108</c:v>
                </c:pt>
                <c:pt idx="497">
                  <c:v>0.9830265698316103</c:v>
                </c:pt>
                <c:pt idx="498">
                  <c:v>0.98914940312263888</c:v>
                </c:pt>
                <c:pt idx="499">
                  <c:v>0.99358354390211145</c:v>
                </c:pt>
                <c:pt idx="500">
                  <c:v>0.99385439534751252</c:v>
                </c:pt>
              </c:numCache>
            </c:numRef>
          </c:xVal>
          <c:yVal>
            <c:numRef>
              <c:f>'test function'!$U$7:$U$507</c:f>
              <c:numCache>
                <c:formatCode>0.000</c:formatCode>
                <c:ptCount val="501"/>
                <c:pt idx="0">
                  <c:v>0.24680849624927959</c:v>
                </c:pt>
                <c:pt idx="1">
                  <c:v>0.24689201345221523</c:v>
                </c:pt>
                <c:pt idx="2">
                  <c:v>0.26221422415542883</c:v>
                </c:pt>
                <c:pt idx="3">
                  <c:v>0.28187649422188277</c:v>
                </c:pt>
                <c:pt idx="4">
                  <c:v>0.3027425767995382</c:v>
                </c:pt>
                <c:pt idx="5">
                  <c:v>0.32783671368115552</c:v>
                </c:pt>
                <c:pt idx="6">
                  <c:v>0.34164986040101897</c:v>
                </c:pt>
                <c:pt idx="7">
                  <c:v>0.37299385479624592</c:v>
                </c:pt>
                <c:pt idx="8">
                  <c:v>0.40314457356370381</c:v>
                </c:pt>
                <c:pt idx="9">
                  <c:v>0.4604358968516018</c:v>
                </c:pt>
                <c:pt idx="10">
                  <c:v>0.55964588693055539</c:v>
                </c:pt>
                <c:pt idx="11">
                  <c:v>0.64727575738746346</c:v>
                </c:pt>
                <c:pt idx="12">
                  <c:v>0.66895578934691691</c:v>
                </c:pt>
                <c:pt idx="13">
                  <c:v>0.70499654386472488</c:v>
                </c:pt>
                <c:pt idx="14">
                  <c:v>0.73210572067754465</c:v>
                </c:pt>
                <c:pt idx="15">
                  <c:v>0.7809618136397336</c:v>
                </c:pt>
                <c:pt idx="16">
                  <c:v>0.78322226585312238</c:v>
                </c:pt>
                <c:pt idx="17">
                  <c:v>0.79104700078748402</c:v>
                </c:pt>
                <c:pt idx="18">
                  <c:v>0.80633272436047443</c:v>
                </c:pt>
                <c:pt idx="19">
                  <c:v>0.82317368315741501</c:v>
                </c:pt>
                <c:pt idx="20">
                  <c:v>0.94037581642228374</c:v>
                </c:pt>
                <c:pt idx="21">
                  <c:v>0.95027303186388112</c:v>
                </c:pt>
                <c:pt idx="22">
                  <c:v>0.98945347673525363</c:v>
                </c:pt>
                <c:pt idx="23">
                  <c:v>1.0565059586039791</c:v>
                </c:pt>
                <c:pt idx="24">
                  <c:v>1.0972284207578851</c:v>
                </c:pt>
                <c:pt idx="25">
                  <c:v>1.3163370263046188</c:v>
                </c:pt>
                <c:pt idx="26">
                  <c:v>1.3693005874586801</c:v>
                </c:pt>
                <c:pt idx="27">
                  <c:v>1.3880613218527218</c:v>
                </c:pt>
                <c:pt idx="28">
                  <c:v>1.4541376022809227</c:v>
                </c:pt>
                <c:pt idx="29">
                  <c:v>1.5307865232802369</c:v>
                </c:pt>
                <c:pt idx="30">
                  <c:v>1.6174847560106684</c:v>
                </c:pt>
                <c:pt idx="31">
                  <c:v>1.6334458086822186</c:v>
                </c:pt>
                <c:pt idx="32">
                  <c:v>1.6850137578484774</c:v>
                </c:pt>
                <c:pt idx="33">
                  <c:v>1.687127718906194</c:v>
                </c:pt>
                <c:pt idx="34">
                  <c:v>1.6930488108623427</c:v>
                </c:pt>
                <c:pt idx="35">
                  <c:v>1.8362952879734133</c:v>
                </c:pt>
                <c:pt idx="36">
                  <c:v>1.9065232056618431</c:v>
                </c:pt>
                <c:pt idx="37">
                  <c:v>1.9112908990906652</c:v>
                </c:pt>
                <c:pt idx="38">
                  <c:v>1.9231429116791736</c:v>
                </c:pt>
                <c:pt idx="39">
                  <c:v>1.9503324219359635</c:v>
                </c:pt>
                <c:pt idx="40">
                  <c:v>1.9719435662448879</c:v>
                </c:pt>
                <c:pt idx="41">
                  <c:v>2.0109158524929018</c:v>
                </c:pt>
                <c:pt idx="42">
                  <c:v>2.0631207082026886</c:v>
                </c:pt>
                <c:pt idx="43">
                  <c:v>2.0826718071224817</c:v>
                </c:pt>
                <c:pt idx="44">
                  <c:v>2.1217685673016655</c:v>
                </c:pt>
                <c:pt idx="45">
                  <c:v>2.1223354447977876</c:v>
                </c:pt>
                <c:pt idx="46">
                  <c:v>2.1399878022963299</c:v>
                </c:pt>
                <c:pt idx="47">
                  <c:v>2.1508328354572974</c:v>
                </c:pt>
                <c:pt idx="48">
                  <c:v>2.1882528880270344</c:v>
                </c:pt>
                <c:pt idx="49">
                  <c:v>2.2078186779024338</c:v>
                </c:pt>
                <c:pt idx="50">
                  <c:v>2.2102663984082032</c:v>
                </c:pt>
                <c:pt idx="51">
                  <c:v>2.2416212146987591</c:v>
                </c:pt>
                <c:pt idx="52">
                  <c:v>2.2433475131683482</c:v>
                </c:pt>
                <c:pt idx="53">
                  <c:v>2.2486185910798482</c:v>
                </c:pt>
                <c:pt idx="54">
                  <c:v>2.2661639125256334</c:v>
                </c:pt>
                <c:pt idx="55">
                  <c:v>2.2666823050554243</c:v>
                </c:pt>
                <c:pt idx="56">
                  <c:v>2.2690762966813738</c:v>
                </c:pt>
                <c:pt idx="57">
                  <c:v>2.2714923285474433</c:v>
                </c:pt>
                <c:pt idx="58">
                  <c:v>2.273677805017996</c:v>
                </c:pt>
                <c:pt idx="59">
                  <c:v>2.2743246141351472</c:v>
                </c:pt>
                <c:pt idx="60">
                  <c:v>2.2741529657141455</c:v>
                </c:pt>
                <c:pt idx="61">
                  <c:v>2.2730556960088699</c:v>
                </c:pt>
                <c:pt idx="62">
                  <c:v>2.2719287824873406</c:v>
                </c:pt>
                <c:pt idx="63">
                  <c:v>2.2685101193255615</c:v>
                </c:pt>
                <c:pt idx="64">
                  <c:v>2.2604523573070665</c:v>
                </c:pt>
                <c:pt idx="65">
                  <c:v>2.2539618416617526</c:v>
                </c:pt>
                <c:pt idx="66">
                  <c:v>2.2456988209906377</c:v>
                </c:pt>
                <c:pt idx="67">
                  <c:v>2.2189192142546612</c:v>
                </c:pt>
                <c:pt idx="68">
                  <c:v>2.179911433961788</c:v>
                </c:pt>
                <c:pt idx="69">
                  <c:v>2.1791041199062904</c:v>
                </c:pt>
                <c:pt idx="70">
                  <c:v>2.1641643039928984</c:v>
                </c:pt>
                <c:pt idx="71">
                  <c:v>2.1573212277680627</c:v>
                </c:pt>
                <c:pt idx="72">
                  <c:v>2.1514989649860907</c:v>
                </c:pt>
                <c:pt idx="73">
                  <c:v>2.1419928131832422</c:v>
                </c:pt>
                <c:pt idx="74">
                  <c:v>2.1306574065236905</c:v>
                </c:pt>
                <c:pt idx="75">
                  <c:v>2.0748842451341387</c:v>
                </c:pt>
                <c:pt idx="76">
                  <c:v>2.0573448011917206</c:v>
                </c:pt>
                <c:pt idx="77">
                  <c:v>2.0360884922727962</c:v>
                </c:pt>
                <c:pt idx="78">
                  <c:v>2.022686515751837</c:v>
                </c:pt>
                <c:pt idx="79">
                  <c:v>2.0224451428974337</c:v>
                </c:pt>
                <c:pt idx="80">
                  <c:v>1.9832539845380117</c:v>
                </c:pt>
                <c:pt idx="81">
                  <c:v>1.9824348780232637</c:v>
                </c:pt>
                <c:pt idx="82">
                  <c:v>1.9518745762796996</c:v>
                </c:pt>
                <c:pt idx="83">
                  <c:v>1.9366811075674111</c:v>
                </c:pt>
                <c:pt idx="84">
                  <c:v>1.9317186435877596</c:v>
                </c:pt>
                <c:pt idx="85">
                  <c:v>1.919292659635198</c:v>
                </c:pt>
                <c:pt idx="86">
                  <c:v>1.9079453652040705</c:v>
                </c:pt>
                <c:pt idx="87">
                  <c:v>1.8925144115716619</c:v>
                </c:pt>
                <c:pt idx="88">
                  <c:v>1.8752554327495305</c:v>
                </c:pt>
                <c:pt idx="89">
                  <c:v>1.8255950123230735</c:v>
                </c:pt>
                <c:pt idx="90">
                  <c:v>1.8182511400632717</c:v>
                </c:pt>
                <c:pt idx="91">
                  <c:v>1.8005991299609898</c:v>
                </c:pt>
                <c:pt idx="92">
                  <c:v>1.7497606148152574</c:v>
                </c:pt>
                <c:pt idx="93">
                  <c:v>1.747983459163577</c:v>
                </c:pt>
                <c:pt idx="94">
                  <c:v>1.7273840620551661</c:v>
                </c:pt>
                <c:pt idx="95">
                  <c:v>1.7177886275525123</c:v>
                </c:pt>
                <c:pt idx="96">
                  <c:v>1.7136145931332882</c:v>
                </c:pt>
                <c:pt idx="97">
                  <c:v>1.6658720127876603</c:v>
                </c:pt>
                <c:pt idx="98">
                  <c:v>1.6652315698016358</c:v>
                </c:pt>
                <c:pt idx="99">
                  <c:v>1.6645031769759018</c:v>
                </c:pt>
                <c:pt idx="100">
                  <c:v>1.6473656549231872</c:v>
                </c:pt>
                <c:pt idx="101">
                  <c:v>1.6394290512348462</c:v>
                </c:pt>
                <c:pt idx="102">
                  <c:v>1.6111380183387678</c:v>
                </c:pt>
                <c:pt idx="103">
                  <c:v>1.6072819925263078</c:v>
                </c:pt>
                <c:pt idx="104">
                  <c:v>1.5956451536246632</c:v>
                </c:pt>
                <c:pt idx="105">
                  <c:v>1.593719487677008</c:v>
                </c:pt>
                <c:pt idx="106">
                  <c:v>1.5901626651178913</c:v>
                </c:pt>
                <c:pt idx="107">
                  <c:v>1.5718129159367147</c:v>
                </c:pt>
                <c:pt idx="108">
                  <c:v>1.5467947379490148</c:v>
                </c:pt>
                <c:pt idx="109">
                  <c:v>1.5349657278195379</c:v>
                </c:pt>
                <c:pt idx="110">
                  <c:v>1.5210249822339743</c:v>
                </c:pt>
                <c:pt idx="111">
                  <c:v>1.513994715614521</c:v>
                </c:pt>
                <c:pt idx="112">
                  <c:v>1.4769103742696958</c:v>
                </c:pt>
                <c:pt idx="113">
                  <c:v>1.4560535584925811</c:v>
                </c:pt>
                <c:pt idx="114">
                  <c:v>1.4549286136118573</c:v>
                </c:pt>
                <c:pt idx="115">
                  <c:v>1.4376223811739945</c:v>
                </c:pt>
                <c:pt idx="116">
                  <c:v>1.4283057758221374</c:v>
                </c:pt>
                <c:pt idx="117">
                  <c:v>1.4210011317421174</c:v>
                </c:pt>
                <c:pt idx="118">
                  <c:v>1.3666405676538302</c:v>
                </c:pt>
                <c:pt idx="119">
                  <c:v>1.3188639442439409</c:v>
                </c:pt>
                <c:pt idx="120">
                  <c:v>1.2845536916246194</c:v>
                </c:pt>
                <c:pt idx="121">
                  <c:v>1.2709626164829821</c:v>
                </c:pt>
                <c:pt idx="122">
                  <c:v>1.2487790295506904</c:v>
                </c:pt>
                <c:pt idx="123">
                  <c:v>1.2306607208701925</c:v>
                </c:pt>
                <c:pt idx="124">
                  <c:v>1.1984881890050791</c:v>
                </c:pt>
                <c:pt idx="125">
                  <c:v>1.1760631412699973</c:v>
                </c:pt>
                <c:pt idx="126">
                  <c:v>1.0727916018176817</c:v>
                </c:pt>
                <c:pt idx="127">
                  <c:v>1.0654139771701854</c:v>
                </c:pt>
                <c:pt idx="128">
                  <c:v>1.0563061983196109</c:v>
                </c:pt>
                <c:pt idx="129">
                  <c:v>1.0553070234064232</c:v>
                </c:pt>
                <c:pt idx="130">
                  <c:v>1.0456021774239261</c:v>
                </c:pt>
                <c:pt idx="131">
                  <c:v>1.0455126603798834</c:v>
                </c:pt>
                <c:pt idx="132">
                  <c:v>1.0208128533068297</c:v>
                </c:pt>
                <c:pt idx="133">
                  <c:v>1.0170597762735343</c:v>
                </c:pt>
                <c:pt idx="134">
                  <c:v>1.016624144869944</c:v>
                </c:pt>
                <c:pt idx="135">
                  <c:v>1.0043094070374592</c:v>
                </c:pt>
                <c:pt idx="136">
                  <c:v>0.99303383688020497</c:v>
                </c:pt>
                <c:pt idx="137">
                  <c:v>0.97047991020699009</c:v>
                </c:pt>
                <c:pt idx="138">
                  <c:v>0.96697674445968596</c:v>
                </c:pt>
                <c:pt idx="139">
                  <c:v>0.96563803027769812</c:v>
                </c:pt>
                <c:pt idx="140">
                  <c:v>0.96550185944101607</c:v>
                </c:pt>
                <c:pt idx="141">
                  <c:v>0.95314371733219683</c:v>
                </c:pt>
                <c:pt idx="142">
                  <c:v>0.93257593572421649</c:v>
                </c:pt>
                <c:pt idx="143">
                  <c:v>0.92819079717918762</c:v>
                </c:pt>
                <c:pt idx="144">
                  <c:v>0.91708589867922075</c:v>
                </c:pt>
                <c:pt idx="145">
                  <c:v>0.91656573957774357</c:v>
                </c:pt>
                <c:pt idx="146">
                  <c:v>0.88374795507353121</c:v>
                </c:pt>
                <c:pt idx="147">
                  <c:v>0.87566489602182052</c:v>
                </c:pt>
                <c:pt idx="148">
                  <c:v>0.87443941503235556</c:v>
                </c:pt>
                <c:pt idx="149">
                  <c:v>0.82420535719969901</c:v>
                </c:pt>
                <c:pt idx="150">
                  <c:v>0.82266639329575963</c:v>
                </c:pt>
                <c:pt idx="151">
                  <c:v>0.82156525977238659</c:v>
                </c:pt>
                <c:pt idx="152">
                  <c:v>0.79057476281745864</c:v>
                </c:pt>
                <c:pt idx="153">
                  <c:v>0.76721053450096144</c:v>
                </c:pt>
                <c:pt idx="154">
                  <c:v>0.76350524792508767</c:v>
                </c:pt>
                <c:pt idx="155">
                  <c:v>0.75150473505523885</c:v>
                </c:pt>
                <c:pt idx="156">
                  <c:v>0.70980425230427913</c:v>
                </c:pt>
                <c:pt idx="157">
                  <c:v>0.70748720062338966</c:v>
                </c:pt>
                <c:pt idx="158">
                  <c:v>0.70718942241390415</c:v>
                </c:pt>
                <c:pt idx="159">
                  <c:v>0.70279132337179617</c:v>
                </c:pt>
                <c:pt idx="160">
                  <c:v>0.67690616131824766</c:v>
                </c:pt>
                <c:pt idx="161">
                  <c:v>0.65841569424095758</c:v>
                </c:pt>
                <c:pt idx="162">
                  <c:v>0.64296692899372343</c:v>
                </c:pt>
                <c:pt idx="163">
                  <c:v>0.63363618580325531</c:v>
                </c:pt>
                <c:pt idx="164">
                  <c:v>0.63199220382751009</c:v>
                </c:pt>
                <c:pt idx="165">
                  <c:v>0.63145300284608008</c:v>
                </c:pt>
                <c:pt idx="166">
                  <c:v>0.62491845842312022</c:v>
                </c:pt>
                <c:pt idx="167">
                  <c:v>0.62281138540591097</c:v>
                </c:pt>
                <c:pt idx="168">
                  <c:v>0.60240094936097832</c:v>
                </c:pt>
                <c:pt idx="169">
                  <c:v>0.60202771048946491</c:v>
                </c:pt>
                <c:pt idx="170">
                  <c:v>0.58740082820987127</c:v>
                </c:pt>
                <c:pt idx="171">
                  <c:v>0.58728324663577491</c:v>
                </c:pt>
                <c:pt idx="172">
                  <c:v>0.5833928669040398</c:v>
                </c:pt>
                <c:pt idx="173">
                  <c:v>0.58206490082429441</c:v>
                </c:pt>
                <c:pt idx="174">
                  <c:v>0.57606440890343813</c:v>
                </c:pt>
                <c:pt idx="175">
                  <c:v>0.54824241861368983</c:v>
                </c:pt>
                <c:pt idx="176">
                  <c:v>0.54473261371791071</c:v>
                </c:pt>
                <c:pt idx="177">
                  <c:v>0.53557425785317037</c:v>
                </c:pt>
                <c:pt idx="178">
                  <c:v>0.52244816785251835</c:v>
                </c:pt>
                <c:pt idx="179">
                  <c:v>0.52104463053339201</c:v>
                </c:pt>
                <c:pt idx="180">
                  <c:v>0.52041918306773871</c:v>
                </c:pt>
                <c:pt idx="181">
                  <c:v>0.51866237133944804</c:v>
                </c:pt>
                <c:pt idx="182">
                  <c:v>0.50980131712596632</c:v>
                </c:pt>
                <c:pt idx="183">
                  <c:v>0.50800428760581129</c:v>
                </c:pt>
                <c:pt idx="184">
                  <c:v>0.50335848653201554</c:v>
                </c:pt>
                <c:pt idx="185">
                  <c:v>0.48509654571427552</c:v>
                </c:pt>
                <c:pt idx="186">
                  <c:v>0.45752379462926207</c:v>
                </c:pt>
                <c:pt idx="187">
                  <c:v>0.43941202924170497</c:v>
                </c:pt>
                <c:pt idx="188">
                  <c:v>0.43903882943323502</c:v>
                </c:pt>
                <c:pt idx="189">
                  <c:v>0.43245429824660953</c:v>
                </c:pt>
                <c:pt idx="190">
                  <c:v>0.4286338364652349</c:v>
                </c:pt>
                <c:pt idx="191">
                  <c:v>0.41771016016829732</c:v>
                </c:pt>
                <c:pt idx="192">
                  <c:v>0.40865641790229335</c:v>
                </c:pt>
                <c:pt idx="193">
                  <c:v>0.39305232558191472</c:v>
                </c:pt>
                <c:pt idx="194">
                  <c:v>0.37544060044761807</c:v>
                </c:pt>
                <c:pt idx="195">
                  <c:v>0.37068383389163628</c:v>
                </c:pt>
                <c:pt idx="196">
                  <c:v>0.36986623727307455</c:v>
                </c:pt>
                <c:pt idx="197">
                  <c:v>0.36215229632474477</c:v>
                </c:pt>
                <c:pt idx="198">
                  <c:v>0.35534504656019861</c:v>
                </c:pt>
                <c:pt idx="199">
                  <c:v>0.33535851285587137</c:v>
                </c:pt>
                <c:pt idx="200">
                  <c:v>0.33533058165664409</c:v>
                </c:pt>
                <c:pt idx="201">
                  <c:v>0.33467034061779488</c:v>
                </c:pt>
                <c:pt idx="202">
                  <c:v>0.33426331373679385</c:v>
                </c:pt>
                <c:pt idx="203">
                  <c:v>0.33313272015980377</c:v>
                </c:pt>
                <c:pt idx="204">
                  <c:v>0.32509135957585622</c:v>
                </c:pt>
                <c:pt idx="205">
                  <c:v>0.32372786890274829</c:v>
                </c:pt>
                <c:pt idx="206">
                  <c:v>0.32155408956391351</c:v>
                </c:pt>
                <c:pt idx="207">
                  <c:v>0.32034623127135697</c:v>
                </c:pt>
                <c:pt idx="208">
                  <c:v>0.31973559529562801</c:v>
                </c:pt>
                <c:pt idx="209">
                  <c:v>0.3189938980815934</c:v>
                </c:pt>
                <c:pt idx="210">
                  <c:v>0.31774705852507479</c:v>
                </c:pt>
                <c:pt idx="211">
                  <c:v>0.31724496682130798</c:v>
                </c:pt>
                <c:pt idx="212">
                  <c:v>0.3159015571126349</c:v>
                </c:pt>
                <c:pt idx="213">
                  <c:v>0.31575319922090417</c:v>
                </c:pt>
                <c:pt idx="214">
                  <c:v>0.31563952093313308</c:v>
                </c:pt>
                <c:pt idx="215">
                  <c:v>0.31615885204923355</c:v>
                </c:pt>
                <c:pt idx="216">
                  <c:v>0.31749721233136352</c:v>
                </c:pt>
                <c:pt idx="217">
                  <c:v>0.31793365306991372</c:v>
                </c:pt>
                <c:pt idx="218">
                  <c:v>0.31886071640847025</c:v>
                </c:pt>
                <c:pt idx="219">
                  <c:v>0.31935336191279351</c:v>
                </c:pt>
                <c:pt idx="220">
                  <c:v>0.3194309593080531</c:v>
                </c:pt>
                <c:pt idx="221">
                  <c:v>0.32075375614805202</c:v>
                </c:pt>
                <c:pt idx="222">
                  <c:v>0.32089751456158355</c:v>
                </c:pt>
                <c:pt idx="223">
                  <c:v>0.32121070689406439</c:v>
                </c:pt>
                <c:pt idx="224">
                  <c:v>0.32132029973550846</c:v>
                </c:pt>
                <c:pt idx="225">
                  <c:v>0.32142438764613601</c:v>
                </c:pt>
                <c:pt idx="226">
                  <c:v>0.3216876704586511</c:v>
                </c:pt>
                <c:pt idx="227">
                  <c:v>0.32354221462558641</c:v>
                </c:pt>
                <c:pt idx="228">
                  <c:v>0.32363086430467547</c:v>
                </c:pt>
                <c:pt idx="229">
                  <c:v>0.3249308970169893</c:v>
                </c:pt>
                <c:pt idx="230">
                  <c:v>0.32693306854484483</c:v>
                </c:pt>
                <c:pt idx="231">
                  <c:v>0.3269513588978441</c:v>
                </c:pt>
                <c:pt idx="232">
                  <c:v>0.32736899191237034</c:v>
                </c:pt>
                <c:pt idx="233">
                  <c:v>0.32875780310980263</c:v>
                </c:pt>
                <c:pt idx="234">
                  <c:v>0.33304813159236346</c:v>
                </c:pt>
                <c:pt idx="235">
                  <c:v>0.33502094503854929</c:v>
                </c:pt>
                <c:pt idx="236">
                  <c:v>0.33615856418873635</c:v>
                </c:pt>
                <c:pt idx="237">
                  <c:v>0.33874300884156172</c:v>
                </c:pt>
                <c:pt idx="238">
                  <c:v>0.33914384469259851</c:v>
                </c:pt>
                <c:pt idx="239">
                  <c:v>0.33974894136030853</c:v>
                </c:pt>
                <c:pt idx="240">
                  <c:v>0.3504824630035599</c:v>
                </c:pt>
                <c:pt idx="241">
                  <c:v>0.37615308847576312</c:v>
                </c:pt>
                <c:pt idx="242">
                  <c:v>0.37980139496140319</c:v>
                </c:pt>
                <c:pt idx="243">
                  <c:v>0.38523119346533186</c:v>
                </c:pt>
                <c:pt idx="244">
                  <c:v>0.38728603631407665</c:v>
                </c:pt>
                <c:pt idx="245">
                  <c:v>0.3889474787411249</c:v>
                </c:pt>
                <c:pt idx="246">
                  <c:v>0.39128288008805612</c:v>
                </c:pt>
                <c:pt idx="247">
                  <c:v>0.39327704933168972</c:v>
                </c:pt>
                <c:pt idx="248">
                  <c:v>0.39431198516619004</c:v>
                </c:pt>
                <c:pt idx="249">
                  <c:v>0.39961959914037104</c:v>
                </c:pt>
                <c:pt idx="250">
                  <c:v>0.40291628521905354</c:v>
                </c:pt>
                <c:pt idx="251">
                  <c:v>0.40362310338943352</c:v>
                </c:pt>
                <c:pt idx="252">
                  <c:v>0.40418816093842835</c:v>
                </c:pt>
                <c:pt idx="253">
                  <c:v>0.40444799538964338</c:v>
                </c:pt>
                <c:pt idx="254">
                  <c:v>0.40475237483314652</c:v>
                </c:pt>
                <c:pt idx="255">
                  <c:v>0.40503332300615336</c:v>
                </c:pt>
                <c:pt idx="256">
                  <c:v>0.40599568319607604</c:v>
                </c:pt>
                <c:pt idx="257">
                  <c:v>0.40600040452290553</c:v>
                </c:pt>
                <c:pt idx="258">
                  <c:v>0.4060580353946972</c:v>
                </c:pt>
                <c:pt idx="259">
                  <c:v>0.40658685527068172</c:v>
                </c:pt>
                <c:pt idx="260">
                  <c:v>0.40514210375641113</c:v>
                </c:pt>
                <c:pt idx="261">
                  <c:v>0.40273668441632582</c:v>
                </c:pt>
                <c:pt idx="262">
                  <c:v>0.39992689292293937</c:v>
                </c:pt>
                <c:pt idx="263">
                  <c:v>0.39740389865919035</c:v>
                </c:pt>
                <c:pt idx="264">
                  <c:v>0.39527845326699351</c:v>
                </c:pt>
                <c:pt idx="265">
                  <c:v>0.39362771165102961</c:v>
                </c:pt>
                <c:pt idx="266">
                  <c:v>0.3916434522588057</c:v>
                </c:pt>
                <c:pt idx="267">
                  <c:v>0.39015094247498316</c:v>
                </c:pt>
                <c:pt idx="268">
                  <c:v>0.38758278378846933</c:v>
                </c:pt>
                <c:pt idx="269">
                  <c:v>0.38485981329777541</c:v>
                </c:pt>
                <c:pt idx="270">
                  <c:v>0.38471347186150995</c:v>
                </c:pt>
                <c:pt idx="271">
                  <c:v>0.38255160275938183</c:v>
                </c:pt>
                <c:pt idx="272">
                  <c:v>0.37706065654923027</c:v>
                </c:pt>
                <c:pt idx="273">
                  <c:v>0.36921136079478423</c:v>
                </c:pt>
                <c:pt idx="274">
                  <c:v>0.36653274797272184</c:v>
                </c:pt>
                <c:pt idx="275">
                  <c:v>0.36322378062682059</c:v>
                </c:pt>
                <c:pt idx="276">
                  <c:v>0.36147783625778551</c:v>
                </c:pt>
                <c:pt idx="277">
                  <c:v>0.35902218690023346</c:v>
                </c:pt>
                <c:pt idx="278">
                  <c:v>0.35740190597919375</c:v>
                </c:pt>
                <c:pt idx="279">
                  <c:v>0.35406708120333752</c:v>
                </c:pt>
                <c:pt idx="280">
                  <c:v>0.35360257384887195</c:v>
                </c:pt>
                <c:pt idx="281">
                  <c:v>0.3529328424416347</c:v>
                </c:pt>
                <c:pt idx="282">
                  <c:v>0.35154999586541136</c:v>
                </c:pt>
                <c:pt idx="283">
                  <c:v>0.35145242218821693</c:v>
                </c:pt>
                <c:pt idx="284">
                  <c:v>0.35121972753525554</c:v>
                </c:pt>
                <c:pt idx="285">
                  <c:v>0.34452514513316412</c:v>
                </c:pt>
                <c:pt idx="286">
                  <c:v>0.34407231837586272</c:v>
                </c:pt>
                <c:pt idx="287">
                  <c:v>0.34132900256618059</c:v>
                </c:pt>
                <c:pt idx="288">
                  <c:v>0.34091148797858173</c:v>
                </c:pt>
                <c:pt idx="289">
                  <c:v>0.3391348287229845</c:v>
                </c:pt>
                <c:pt idx="290">
                  <c:v>0.33553376746863739</c:v>
                </c:pt>
                <c:pt idx="291">
                  <c:v>0.33552431112617631</c:v>
                </c:pt>
                <c:pt idx="292">
                  <c:v>0.33524552529162888</c:v>
                </c:pt>
                <c:pt idx="293">
                  <c:v>0.33197512723514544</c:v>
                </c:pt>
                <c:pt idx="294">
                  <c:v>0.33115645042965003</c:v>
                </c:pt>
                <c:pt idx="295">
                  <c:v>0.32935458005516738</c:v>
                </c:pt>
                <c:pt idx="296">
                  <c:v>0.32928504243130385</c:v>
                </c:pt>
                <c:pt idx="297">
                  <c:v>0.32883813583464772</c:v>
                </c:pt>
                <c:pt idx="298">
                  <c:v>0.32829347531207631</c:v>
                </c:pt>
                <c:pt idx="299">
                  <c:v>0.32740814642289484</c:v>
                </c:pt>
                <c:pt idx="300">
                  <c:v>0.32724990337630055</c:v>
                </c:pt>
                <c:pt idx="301">
                  <c:v>0.32718509157160014</c:v>
                </c:pt>
                <c:pt idx="302">
                  <c:v>0.3260273514026788</c:v>
                </c:pt>
                <c:pt idx="303">
                  <c:v>0.32587532047218115</c:v>
                </c:pt>
                <c:pt idx="304">
                  <c:v>0.32578564381298092</c:v>
                </c:pt>
                <c:pt idx="305">
                  <c:v>0.32579585928341803</c:v>
                </c:pt>
                <c:pt idx="306">
                  <c:v>0.3258179799621912</c:v>
                </c:pt>
                <c:pt idx="307">
                  <c:v>0.32585701183151228</c:v>
                </c:pt>
                <c:pt idx="308">
                  <c:v>0.32589756309945672</c:v>
                </c:pt>
                <c:pt idx="309">
                  <c:v>0.32666107262175759</c:v>
                </c:pt>
                <c:pt idx="310">
                  <c:v>0.32711747781718215</c:v>
                </c:pt>
                <c:pt idx="311">
                  <c:v>0.32738193320758757</c:v>
                </c:pt>
                <c:pt idx="312">
                  <c:v>0.32830486314333429</c:v>
                </c:pt>
                <c:pt idx="313">
                  <c:v>0.32969691266950996</c:v>
                </c:pt>
                <c:pt idx="314">
                  <c:v>0.33444261107164364</c:v>
                </c:pt>
                <c:pt idx="315">
                  <c:v>0.3381419079330148</c:v>
                </c:pt>
                <c:pt idx="316">
                  <c:v>0.34030812553404344</c:v>
                </c:pt>
                <c:pt idx="317">
                  <c:v>0.34127592925577677</c:v>
                </c:pt>
                <c:pt idx="318">
                  <c:v>0.34242294549959595</c:v>
                </c:pt>
                <c:pt idx="319">
                  <c:v>0.34509368227792336</c:v>
                </c:pt>
                <c:pt idx="320">
                  <c:v>0.34866083867318842</c:v>
                </c:pt>
                <c:pt idx="321">
                  <c:v>0.3500069950381941</c:v>
                </c:pt>
                <c:pt idx="322">
                  <c:v>0.35100156553314887</c:v>
                </c:pt>
                <c:pt idx="323">
                  <c:v>0.35132177503470574</c:v>
                </c:pt>
                <c:pt idx="324">
                  <c:v>0.35468267625414773</c:v>
                </c:pt>
                <c:pt idx="325">
                  <c:v>0.35534476736103482</c:v>
                </c:pt>
                <c:pt idx="326">
                  <c:v>0.35579761548888378</c:v>
                </c:pt>
                <c:pt idx="327">
                  <c:v>0.35862828720406892</c:v>
                </c:pt>
                <c:pt idx="328">
                  <c:v>0.36466948552091738</c:v>
                </c:pt>
                <c:pt idx="329">
                  <c:v>0.37115947934691906</c:v>
                </c:pt>
                <c:pt idx="330">
                  <c:v>0.37191687648804406</c:v>
                </c:pt>
                <c:pt idx="331">
                  <c:v>0.3720165650007683</c:v>
                </c:pt>
                <c:pt idx="332">
                  <c:v>0.37261335912177085</c:v>
                </c:pt>
                <c:pt idx="333">
                  <c:v>0.37821956732171502</c:v>
                </c:pt>
                <c:pt idx="334">
                  <c:v>0.37987272263440541</c:v>
                </c:pt>
                <c:pt idx="335">
                  <c:v>0.38091621929824404</c:v>
                </c:pt>
                <c:pt idx="336">
                  <c:v>0.38720338760340667</c:v>
                </c:pt>
                <c:pt idx="337">
                  <c:v>0.3946258505948097</c:v>
                </c:pt>
                <c:pt idx="338">
                  <c:v>0.40000057495916863</c:v>
                </c:pt>
                <c:pt idx="339">
                  <c:v>0.41164528666289391</c:v>
                </c:pt>
                <c:pt idx="340">
                  <c:v>0.42078102873049872</c:v>
                </c:pt>
                <c:pt idx="341">
                  <c:v>0.43215593740928027</c:v>
                </c:pt>
                <c:pt idx="342">
                  <c:v>0.43443090072376167</c:v>
                </c:pt>
                <c:pt idx="343">
                  <c:v>0.43879105613236069</c:v>
                </c:pt>
                <c:pt idx="344">
                  <c:v>0.44679060907199997</c:v>
                </c:pt>
                <c:pt idx="345">
                  <c:v>0.4591035892391031</c:v>
                </c:pt>
                <c:pt idx="346">
                  <c:v>0.47637504822815835</c:v>
                </c:pt>
                <c:pt idx="347">
                  <c:v>0.48456468034989397</c:v>
                </c:pt>
                <c:pt idx="348">
                  <c:v>0.49340585753912691</c:v>
                </c:pt>
                <c:pt idx="349">
                  <c:v>0.50065093183788711</c:v>
                </c:pt>
                <c:pt idx="350">
                  <c:v>0.51359861735176437</c:v>
                </c:pt>
                <c:pt idx="351">
                  <c:v>0.52309202387304721</c:v>
                </c:pt>
                <c:pt idx="352">
                  <c:v>0.52575429246558913</c:v>
                </c:pt>
                <c:pt idx="353">
                  <c:v>0.52626947776049393</c:v>
                </c:pt>
                <c:pt idx="354">
                  <c:v>0.52696002182261603</c:v>
                </c:pt>
                <c:pt idx="355">
                  <c:v>0.52787763698905898</c:v>
                </c:pt>
                <c:pt idx="356">
                  <c:v>0.5286940022389488</c:v>
                </c:pt>
                <c:pt idx="357">
                  <c:v>0.53854515439818718</c:v>
                </c:pt>
                <c:pt idx="358">
                  <c:v>0.53954699636308634</c:v>
                </c:pt>
                <c:pt idx="359">
                  <c:v>0.55367149126718318</c:v>
                </c:pt>
                <c:pt idx="360">
                  <c:v>0.55462233855338305</c:v>
                </c:pt>
                <c:pt idx="361">
                  <c:v>0.55974859806395849</c:v>
                </c:pt>
                <c:pt idx="362">
                  <c:v>0.56530004797507361</c:v>
                </c:pt>
                <c:pt idx="363">
                  <c:v>0.56619870337105405</c:v>
                </c:pt>
                <c:pt idx="364">
                  <c:v>0.56942524183339738</c:v>
                </c:pt>
                <c:pt idx="365">
                  <c:v>0.57420436479582881</c:v>
                </c:pt>
                <c:pt idx="366">
                  <c:v>0.57705984843683544</c:v>
                </c:pt>
                <c:pt idx="367">
                  <c:v>0.58560359284050079</c:v>
                </c:pt>
                <c:pt idx="368">
                  <c:v>0.5870916970761717</c:v>
                </c:pt>
                <c:pt idx="369">
                  <c:v>0.58800293363406531</c:v>
                </c:pt>
                <c:pt idx="370">
                  <c:v>0.60040574143050107</c:v>
                </c:pt>
                <c:pt idx="371">
                  <c:v>0.60955841772883335</c:v>
                </c:pt>
                <c:pt idx="372">
                  <c:v>0.62191388643670353</c:v>
                </c:pt>
                <c:pt idx="373">
                  <c:v>0.62270250886646417</c:v>
                </c:pt>
                <c:pt idx="374">
                  <c:v>0.64897673536680478</c:v>
                </c:pt>
                <c:pt idx="375">
                  <c:v>0.65166858897780178</c:v>
                </c:pt>
                <c:pt idx="376">
                  <c:v>0.67960266380011025</c:v>
                </c:pt>
                <c:pt idx="377">
                  <c:v>0.67979226029351092</c:v>
                </c:pt>
                <c:pt idx="378">
                  <c:v>0.70894057865662563</c:v>
                </c:pt>
                <c:pt idx="379">
                  <c:v>0.71885720012970045</c:v>
                </c:pt>
                <c:pt idx="380">
                  <c:v>0.7342919188193513</c:v>
                </c:pt>
                <c:pt idx="381">
                  <c:v>0.73721090181682825</c:v>
                </c:pt>
                <c:pt idx="382">
                  <c:v>0.75781958284957374</c:v>
                </c:pt>
                <c:pt idx="383">
                  <c:v>0.76398177170371473</c:v>
                </c:pt>
                <c:pt idx="384">
                  <c:v>0.78023437618952696</c:v>
                </c:pt>
                <c:pt idx="385">
                  <c:v>0.78362799815155237</c:v>
                </c:pt>
                <c:pt idx="386">
                  <c:v>0.80201552661277087</c:v>
                </c:pt>
                <c:pt idx="387">
                  <c:v>0.81371148222642264</c:v>
                </c:pt>
                <c:pt idx="388">
                  <c:v>0.82236668585164741</c:v>
                </c:pt>
                <c:pt idx="389">
                  <c:v>0.82515567634164211</c:v>
                </c:pt>
                <c:pt idx="390">
                  <c:v>0.85124544361493393</c:v>
                </c:pt>
                <c:pt idx="391">
                  <c:v>0.87786237116249688</c:v>
                </c:pt>
                <c:pt idx="392">
                  <c:v>0.88672629580846229</c:v>
                </c:pt>
                <c:pt idx="393">
                  <c:v>0.88721305769292491</c:v>
                </c:pt>
                <c:pt idx="394">
                  <c:v>0.89594213110724508</c:v>
                </c:pt>
                <c:pt idx="395">
                  <c:v>0.91924369069235401</c:v>
                </c:pt>
                <c:pt idx="396">
                  <c:v>0.92810226201409063</c:v>
                </c:pt>
                <c:pt idx="397">
                  <c:v>0.93159638624698915</c:v>
                </c:pt>
                <c:pt idx="398">
                  <c:v>0.95452436981082189</c:v>
                </c:pt>
                <c:pt idx="399">
                  <c:v>0.96315313043875261</c:v>
                </c:pt>
                <c:pt idx="400">
                  <c:v>0.99195928853118143</c:v>
                </c:pt>
                <c:pt idx="401">
                  <c:v>0.99459906416218113</c:v>
                </c:pt>
                <c:pt idx="402">
                  <c:v>1.0001818201721984</c:v>
                </c:pt>
                <c:pt idx="403">
                  <c:v>1.0012379460565597</c:v>
                </c:pt>
                <c:pt idx="404">
                  <c:v>1.0082456363111343</c:v>
                </c:pt>
                <c:pt idx="405">
                  <c:v>1.0085403864917664</c:v>
                </c:pt>
                <c:pt idx="406">
                  <c:v>1.0126379105129593</c:v>
                </c:pt>
                <c:pt idx="407">
                  <c:v>1.0186769949682482</c:v>
                </c:pt>
                <c:pt idx="408">
                  <c:v>1.0221164301654133</c:v>
                </c:pt>
                <c:pt idx="409">
                  <c:v>1.0225069612067859</c:v>
                </c:pt>
                <c:pt idx="410">
                  <c:v>1.0366592036266657</c:v>
                </c:pt>
                <c:pt idx="411">
                  <c:v>1.0370299502348568</c:v>
                </c:pt>
                <c:pt idx="412">
                  <c:v>1.044036056171268</c:v>
                </c:pt>
                <c:pt idx="413">
                  <c:v>1.0584909417101851</c:v>
                </c:pt>
                <c:pt idx="414">
                  <c:v>1.0586368912098811</c:v>
                </c:pt>
                <c:pt idx="415">
                  <c:v>1.0589712172322276</c:v>
                </c:pt>
                <c:pt idx="416">
                  <c:v>1.0571406168404798</c:v>
                </c:pt>
                <c:pt idx="417">
                  <c:v>1.0540043517623106</c:v>
                </c:pt>
                <c:pt idx="418">
                  <c:v>1.048386393885125</c:v>
                </c:pt>
                <c:pt idx="419">
                  <c:v>1.0479176528936678</c:v>
                </c:pt>
                <c:pt idx="420">
                  <c:v>1.0413268728153351</c:v>
                </c:pt>
                <c:pt idx="421">
                  <c:v>1.0380835811729294</c:v>
                </c:pt>
                <c:pt idx="422">
                  <c:v>1.0131396615440769</c:v>
                </c:pt>
                <c:pt idx="423">
                  <c:v>1.0058880493281326</c:v>
                </c:pt>
                <c:pt idx="424">
                  <c:v>1.0043738918136558</c:v>
                </c:pt>
                <c:pt idx="425">
                  <c:v>1.0020977306028451</c:v>
                </c:pt>
                <c:pt idx="426">
                  <c:v>0.97717897567016609</c:v>
                </c:pt>
                <c:pt idx="427">
                  <c:v>0.97567338236737977</c:v>
                </c:pt>
                <c:pt idx="428">
                  <c:v>0.96733251098933581</c:v>
                </c:pt>
                <c:pt idx="429">
                  <c:v>0.96297821088610625</c:v>
                </c:pt>
                <c:pt idx="430">
                  <c:v>0.95840022231484778</c:v>
                </c:pt>
                <c:pt idx="431">
                  <c:v>0.95693886360401348</c:v>
                </c:pt>
                <c:pt idx="432">
                  <c:v>0.9515483341853026</c:v>
                </c:pt>
                <c:pt idx="433">
                  <c:v>0.94309905792471693</c:v>
                </c:pt>
                <c:pt idx="434">
                  <c:v>0.9240581950567599</c:v>
                </c:pt>
                <c:pt idx="435">
                  <c:v>0.91449863254049446</c:v>
                </c:pt>
                <c:pt idx="436">
                  <c:v>0.91189836113260259</c:v>
                </c:pt>
                <c:pt idx="437">
                  <c:v>0.90139161236238841</c:v>
                </c:pt>
                <c:pt idx="438">
                  <c:v>0.86400661371571386</c:v>
                </c:pt>
                <c:pt idx="439">
                  <c:v>0.85696734154082654</c:v>
                </c:pt>
                <c:pt idx="440">
                  <c:v>0.84738145054714109</c:v>
                </c:pt>
                <c:pt idx="441">
                  <c:v>0.84706600651569652</c:v>
                </c:pt>
                <c:pt idx="442">
                  <c:v>0.83487397598958046</c:v>
                </c:pt>
                <c:pt idx="443">
                  <c:v>0.8289671073511824</c:v>
                </c:pt>
                <c:pt idx="444">
                  <c:v>0.8236335728335622</c:v>
                </c:pt>
                <c:pt idx="445">
                  <c:v>0.80970742389781969</c:v>
                </c:pt>
                <c:pt idx="446">
                  <c:v>0.80067929024986229</c:v>
                </c:pt>
                <c:pt idx="447">
                  <c:v>0.77071021339278478</c:v>
                </c:pt>
                <c:pt idx="448">
                  <c:v>0.76611064865954925</c:v>
                </c:pt>
                <c:pt idx="449">
                  <c:v>0.72926244216364355</c:v>
                </c:pt>
                <c:pt idx="450">
                  <c:v>0.72869987596146069</c:v>
                </c:pt>
                <c:pt idx="451">
                  <c:v>0.71598466822884999</c:v>
                </c:pt>
                <c:pt idx="452">
                  <c:v>0.71491482110966564</c:v>
                </c:pt>
                <c:pt idx="453">
                  <c:v>0.71202347327387483</c:v>
                </c:pt>
                <c:pt idx="454">
                  <c:v>0.69975403123832369</c:v>
                </c:pt>
                <c:pt idx="455">
                  <c:v>0.69958362082254788</c:v>
                </c:pt>
                <c:pt idx="456">
                  <c:v>0.67969623504809262</c:v>
                </c:pt>
                <c:pt idx="457">
                  <c:v>0.67483269073515628</c:v>
                </c:pt>
                <c:pt idx="458">
                  <c:v>0.66769867613522949</c:v>
                </c:pt>
                <c:pt idx="459">
                  <c:v>0.66665723603668892</c:v>
                </c:pt>
                <c:pt idx="460">
                  <c:v>0.66498089931934978</c:v>
                </c:pt>
                <c:pt idx="461">
                  <c:v>0.60083736586107217</c:v>
                </c:pt>
                <c:pt idx="462">
                  <c:v>0.57900984177431636</c:v>
                </c:pt>
                <c:pt idx="463">
                  <c:v>0.57132536386005817</c:v>
                </c:pt>
                <c:pt idx="464">
                  <c:v>0.56326351038742817</c:v>
                </c:pt>
                <c:pt idx="465">
                  <c:v>0.56040952362505903</c:v>
                </c:pt>
                <c:pt idx="466">
                  <c:v>0.5582470214619033</c:v>
                </c:pt>
                <c:pt idx="467">
                  <c:v>0.55033542011343095</c:v>
                </c:pt>
                <c:pt idx="468">
                  <c:v>0.54752317541191942</c:v>
                </c:pt>
                <c:pt idx="469">
                  <c:v>0.53428178594585729</c:v>
                </c:pt>
                <c:pt idx="470">
                  <c:v>0.53416277498940845</c:v>
                </c:pt>
                <c:pt idx="471">
                  <c:v>0.52898506125525824</c:v>
                </c:pt>
                <c:pt idx="472">
                  <c:v>0.52576965735610637</c:v>
                </c:pt>
                <c:pt idx="473">
                  <c:v>0.52574246524694024</c:v>
                </c:pt>
                <c:pt idx="474">
                  <c:v>0.52170001549263167</c:v>
                </c:pt>
                <c:pt idx="475">
                  <c:v>0.51204661710296673</c:v>
                </c:pt>
                <c:pt idx="476">
                  <c:v>0.50758390941907505</c:v>
                </c:pt>
                <c:pt idx="477">
                  <c:v>0.49902598860909464</c:v>
                </c:pt>
                <c:pt idx="478">
                  <c:v>0.49658451235724099</c:v>
                </c:pt>
                <c:pt idx="479">
                  <c:v>0.48842479729975397</c:v>
                </c:pt>
                <c:pt idx="480">
                  <c:v>0.48202953862705256</c:v>
                </c:pt>
                <c:pt idx="481">
                  <c:v>0.47693053257441953</c:v>
                </c:pt>
                <c:pt idx="482">
                  <c:v>0.47141198191970357</c:v>
                </c:pt>
                <c:pt idx="483">
                  <c:v>0.47026296423354141</c:v>
                </c:pt>
                <c:pt idx="484">
                  <c:v>0.46866719292822134</c:v>
                </c:pt>
                <c:pt idx="485">
                  <c:v>0.46683388110147916</c:v>
                </c:pt>
                <c:pt idx="486">
                  <c:v>0.46520117027497543</c:v>
                </c:pt>
                <c:pt idx="487">
                  <c:v>0.46434779906710544</c:v>
                </c:pt>
                <c:pt idx="488">
                  <c:v>0.46090951338797348</c:v>
                </c:pt>
                <c:pt idx="489">
                  <c:v>0.43833200275598427</c:v>
                </c:pt>
                <c:pt idx="490">
                  <c:v>0.42718332358769251</c:v>
                </c:pt>
                <c:pt idx="491">
                  <c:v>0.42335986718932572</c:v>
                </c:pt>
                <c:pt idx="492">
                  <c:v>0.41876682932453635</c:v>
                </c:pt>
                <c:pt idx="493">
                  <c:v>0.40396947135724925</c:v>
                </c:pt>
                <c:pt idx="494">
                  <c:v>0.39323154893478929</c:v>
                </c:pt>
                <c:pt idx="495">
                  <c:v>0.36713583775667225</c:v>
                </c:pt>
                <c:pt idx="496">
                  <c:v>0.35372406228756903</c:v>
                </c:pt>
                <c:pt idx="497">
                  <c:v>0.34270992920998156</c:v>
                </c:pt>
                <c:pt idx="498">
                  <c:v>0.33454134961098925</c:v>
                </c:pt>
                <c:pt idx="499">
                  <c:v>0.32880817984993405</c:v>
                </c:pt>
                <c:pt idx="500">
                  <c:v>0.32846287683730679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47-4C53-B095-3C309E6E5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83039"/>
        <c:axId val="14909905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'test function'!$L$6</c15:sqref>
                        </c15:formulaRef>
                      </c:ext>
                    </c:extLst>
                    <c:strCache>
                      <c:ptCount val="1"/>
                      <c:pt idx="0">
                        <c:v>y exact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'test function'!$K$7:$K$507</c15:sqref>
                        </c15:formulaRef>
                      </c:ext>
                    </c:extLst>
                    <c:numCache>
                      <c:formatCode>0.000</c:formatCode>
                      <c:ptCount val="501"/>
                      <c:pt idx="0">
                        <c:v>-0.99569429756711392</c:v>
                      </c:pt>
                      <c:pt idx="1">
                        <c:v>-0.99568056419404494</c:v>
                      </c:pt>
                      <c:pt idx="2">
                        <c:v>-0.99321005299294041</c:v>
                      </c:pt>
                      <c:pt idx="3">
                        <c:v>-0.9901713635457996</c:v>
                      </c:pt>
                      <c:pt idx="4">
                        <c:v>-0.98708933171046187</c:v>
                      </c:pt>
                      <c:pt idx="5">
                        <c:v>-0.9835524245552274</c:v>
                      </c:pt>
                      <c:pt idx="6">
                        <c:v>-0.98167576942930945</c:v>
                      </c:pt>
                      <c:pt idx="7">
                        <c:v>-0.97758000590186755</c:v>
                      </c:pt>
                      <c:pt idx="8">
                        <c:v>-0.97382748768372718</c:v>
                      </c:pt>
                      <c:pt idx="9">
                        <c:v>-0.96711666778159233</c:v>
                      </c:pt>
                      <c:pt idx="10">
                        <c:v>-0.9564964002773173</c:v>
                      </c:pt>
                      <c:pt idx="11">
                        <c:v>-0.94788637258041986</c:v>
                      </c:pt>
                      <c:pt idx="12">
                        <c:v>-0.94584243051856776</c:v>
                      </c:pt>
                      <c:pt idx="13">
                        <c:v>-0.94250841773549543</c:v>
                      </c:pt>
                      <c:pt idx="14">
                        <c:v>-0.94004832683049599</c:v>
                      </c:pt>
                      <c:pt idx="15">
                        <c:v>-0.93570579262225606</c:v>
                      </c:pt>
                      <c:pt idx="16">
                        <c:v>-0.93550746334227797</c:v>
                      </c:pt>
                      <c:pt idx="17">
                        <c:v>-0.93482258097911153</c:v>
                      </c:pt>
                      <c:pt idx="18">
                        <c:v>-0.93349182562365618</c:v>
                      </c:pt>
                      <c:pt idx="19">
                        <c:v>-0.9320361516103155</c:v>
                      </c:pt>
                      <c:pt idx="20">
                        <c:v>-0.92216007715921622</c:v>
                      </c:pt>
                      <c:pt idx="21">
                        <c:v>-0.9213429530640409</c:v>
                      </c:pt>
                      <c:pt idx="22">
                        <c:v>-0.91812831488684821</c:v>
                      </c:pt>
                      <c:pt idx="23">
                        <c:v>-0.91268822296765295</c:v>
                      </c:pt>
                      <c:pt idx="24">
                        <c:v>-0.90941232492293933</c:v>
                      </c:pt>
                      <c:pt idx="25">
                        <c:v>-0.89188450104523675</c:v>
                      </c:pt>
                      <c:pt idx="26">
                        <c:v>-0.8876090435688202</c:v>
                      </c:pt>
                      <c:pt idx="27">
                        <c:v>-0.88608525099301949</c:v>
                      </c:pt>
                      <c:pt idx="28">
                        <c:v>-0.88066697938096072</c:v>
                      </c:pt>
                      <c:pt idx="29">
                        <c:v>-0.87425009186275759</c:v>
                      </c:pt>
                      <c:pt idx="30">
                        <c:v>-0.86675520692845365</c:v>
                      </c:pt>
                      <c:pt idx="31">
                        <c:v>-0.86534099770392836</c:v>
                      </c:pt>
                      <c:pt idx="32">
                        <c:v>-0.86068345085598086</c:v>
                      </c:pt>
                      <c:pt idx="33">
                        <c:v>-0.86048938185259183</c:v>
                      </c:pt>
                      <c:pt idx="34">
                        <c:v>-0.85994439006333812</c:v>
                      </c:pt>
                      <c:pt idx="35">
                        <c:v>-0.84598411027436771</c:v>
                      </c:pt>
                      <c:pt idx="36">
                        <c:v>-0.83840833569535089</c:v>
                      </c:pt>
                      <c:pt idx="37">
                        <c:v>-0.83787060290430371</c:v>
                      </c:pt>
                      <c:pt idx="38">
                        <c:v>-0.83651914295196983</c:v>
                      </c:pt>
                      <c:pt idx="39">
                        <c:v>-0.83333357424212329</c:v>
                      </c:pt>
                      <c:pt idx="40">
                        <c:v>-0.83070770558237328</c:v>
                      </c:pt>
                      <c:pt idx="41">
                        <c:v>-0.8257258010660824</c:v>
                      </c:pt>
                      <c:pt idx="42">
                        <c:v>-0.81842631673824351</c:v>
                      </c:pt>
                      <c:pt idx="43">
                        <c:v>-0.81545632508858246</c:v>
                      </c:pt>
                      <c:pt idx="44">
                        <c:v>-0.809001184242917</c:v>
                      </c:pt>
                      <c:pt idx="45">
                        <c:v>-0.80890156297895377</c:v>
                      </c:pt>
                      <c:pt idx="46">
                        <c:v>-0.8056954108011285</c:v>
                      </c:pt>
                      <c:pt idx="47">
                        <c:v>-0.80361428399212254</c:v>
                      </c:pt>
                      <c:pt idx="48">
                        <c:v>-0.79556869619577042</c:v>
                      </c:pt>
                      <c:pt idx="49">
                        <c:v>-0.79060344417399464</c:v>
                      </c:pt>
                      <c:pt idx="50">
                        <c:v>-0.78993048450688685</c:v>
                      </c:pt>
                      <c:pt idx="51">
                        <c:v>-0.77969609002334561</c:v>
                      </c:pt>
                      <c:pt idx="52">
                        <c:v>-0.77900559271646896</c:v>
                      </c:pt>
                      <c:pt idx="53">
                        <c:v>-0.77676494446151012</c:v>
                      </c:pt>
                      <c:pt idx="54">
                        <c:v>-0.7667496034189738</c:v>
                      </c:pt>
                      <c:pt idx="55">
                        <c:v>-0.76633661175365764</c:v>
                      </c:pt>
                      <c:pt idx="56">
                        <c:v>-0.76423486794703943</c:v>
                      </c:pt>
                      <c:pt idx="57">
                        <c:v>-0.76162026425399332</c:v>
                      </c:pt>
                      <c:pt idx="58">
                        <c:v>-0.75830661772029262</c:v>
                      </c:pt>
                      <c:pt idx="59">
                        <c:v>-0.74753194675745438</c:v>
                      </c:pt>
                      <c:pt idx="60">
                        <c:v>-0.74709892911016262</c:v>
                      </c:pt>
                      <c:pt idx="61">
                        <c:v>-0.7449003338632032</c:v>
                      </c:pt>
                      <c:pt idx="62">
                        <c:v>-0.74316735635338893</c:v>
                      </c:pt>
                      <c:pt idx="63">
                        <c:v>-0.73920795298110353</c:v>
                      </c:pt>
                      <c:pt idx="64">
                        <c:v>-0.73270392593249456</c:v>
                      </c:pt>
                      <c:pt idx="65">
                        <c:v>-0.72864335338045993</c:v>
                      </c:pt>
                      <c:pt idx="66">
                        <c:v>-0.72422675632100053</c:v>
                      </c:pt>
                      <c:pt idx="67">
                        <c:v>-0.71278994777788252</c:v>
                      </c:pt>
                      <c:pt idx="68">
                        <c:v>-0.69972137984377292</c:v>
                      </c:pt>
                      <c:pt idx="69">
                        <c:v>-0.69947650301920916</c:v>
                      </c:pt>
                      <c:pt idx="70">
                        <c:v>-0.69507814293028125</c:v>
                      </c:pt>
                      <c:pt idx="71">
                        <c:v>-0.69313882813812233</c:v>
                      </c:pt>
                      <c:pt idx="72">
                        <c:v>-0.69152140702818343</c:v>
                      </c:pt>
                      <c:pt idx="73">
                        <c:v>-0.68893897374440671</c:v>
                      </c:pt>
                      <c:pt idx="74">
                        <c:v>-0.68594426147367704</c:v>
                      </c:pt>
                      <c:pt idx="75">
                        <c:v>-0.67222811097054547</c:v>
                      </c:pt>
                      <c:pt idx="76">
                        <c:v>-0.66817902446308586</c:v>
                      </c:pt>
                      <c:pt idx="77">
                        <c:v>-0.6633987194153077</c:v>
                      </c:pt>
                      <c:pt idx="78">
                        <c:v>-0.6604467276975714</c:v>
                      </c:pt>
                      <c:pt idx="79">
                        <c:v>-0.66039396192118294</c:v>
                      </c:pt>
                      <c:pt idx="80">
                        <c:v>-0.65199124633002725</c:v>
                      </c:pt>
                      <c:pt idx="81">
                        <c:v>-0.65181879083137595</c:v>
                      </c:pt>
                      <c:pt idx="82">
                        <c:v>-0.64546261766747026</c:v>
                      </c:pt>
                      <c:pt idx="83">
                        <c:v>-0.64235327613014848</c:v>
                      </c:pt>
                      <c:pt idx="84">
                        <c:v>-0.64134417497518492</c:v>
                      </c:pt>
                      <c:pt idx="85">
                        <c:v>-0.6388303318316233</c:v>
                      </c:pt>
                      <c:pt idx="86">
                        <c:v>-0.63654981969842539</c:v>
                      </c:pt>
                      <c:pt idx="87">
                        <c:v>-0.63346969381815477</c:v>
                      </c:pt>
                      <c:pt idx="88">
                        <c:v>-0.63005061467934298</c:v>
                      </c:pt>
                      <c:pt idx="89">
                        <c:v>-0.62033775339702424</c:v>
                      </c:pt>
                      <c:pt idx="90">
                        <c:v>-0.61891436953217016</c:v>
                      </c:pt>
                      <c:pt idx="91">
                        <c:v>-0.61550411138239514</c:v>
                      </c:pt>
                      <c:pt idx="92">
                        <c:v>-0.60575124198580488</c:v>
                      </c:pt>
                      <c:pt idx="93">
                        <c:v>-0.6054117387519391</c:v>
                      </c:pt>
                      <c:pt idx="94">
                        <c:v>-0.6014815285853683</c:v>
                      </c:pt>
                      <c:pt idx="95">
                        <c:v>-0.59965345563573247</c:v>
                      </c:pt>
                      <c:pt idx="96">
                        <c:v>-0.5988586632604882</c:v>
                      </c:pt>
                      <c:pt idx="97">
                        <c:v>-0.58977843972543154</c:v>
                      </c:pt>
                      <c:pt idx="98">
                        <c:v>-0.58965668732368393</c:v>
                      </c:pt>
                      <c:pt idx="99">
                        <c:v>-0.58951821455215137</c:v>
                      </c:pt>
                      <c:pt idx="100">
                        <c:v>-0.58625983093548895</c:v>
                      </c:pt>
                      <c:pt idx="101">
                        <c:v>-0.58475033534161325</c:v>
                      </c:pt>
                      <c:pt idx="102">
                        <c:v>-0.57936463993869847</c:v>
                      </c:pt>
                      <c:pt idx="103">
                        <c:v>-0.57862977652698566</c:v>
                      </c:pt>
                      <c:pt idx="104">
                        <c:v>-0.57641059399417194</c:v>
                      </c:pt>
                      <c:pt idx="105">
                        <c:v>-0.57604312946951675</c:v>
                      </c:pt>
                      <c:pt idx="106">
                        <c:v>-0.5753642121396032</c:v>
                      </c:pt>
                      <c:pt idx="107">
                        <c:v>-0.57185740668225749</c:v>
                      </c:pt>
                      <c:pt idx="108">
                        <c:v>-0.56706274902198239</c:v>
                      </c:pt>
                      <c:pt idx="109">
                        <c:v>-0.56478942935889775</c:v>
                      </c:pt>
                      <c:pt idx="110">
                        <c:v>-0.56210437078924547</c:v>
                      </c:pt>
                      <c:pt idx="111">
                        <c:v>-0.56074770305488841</c:v>
                      </c:pt>
                      <c:pt idx="112">
                        <c:v>-0.55355894722698973</c:v>
                      </c:pt>
                      <c:pt idx="113">
                        <c:v>-0.54948906024387267</c:v>
                      </c:pt>
                      <c:pt idx="114">
                        <c:v>-0.54926894217270794</c:v>
                      </c:pt>
                      <c:pt idx="115">
                        <c:v>-0.54587439973557506</c:v>
                      </c:pt>
                      <c:pt idx="116">
                        <c:v>-0.54404033477587643</c:v>
                      </c:pt>
                      <c:pt idx="117">
                        <c:v>-0.54259893532357806</c:v>
                      </c:pt>
                      <c:pt idx="118">
                        <c:v>-0.53176917229243448</c:v>
                      </c:pt>
                      <c:pt idx="119">
                        <c:v>-0.52208082174365877</c:v>
                      </c:pt>
                      <c:pt idx="120">
                        <c:v>-0.51500984452762211</c:v>
                      </c:pt>
                      <c:pt idx="121">
                        <c:v>-0.51218009185809343</c:v>
                      </c:pt>
                      <c:pt idx="122">
                        <c:v>-0.50752385203867267</c:v>
                      </c:pt>
                      <c:pt idx="123">
                        <c:v>-0.50368466934876954</c:v>
                      </c:pt>
                      <c:pt idx="124">
                        <c:v>-0.49678176518310879</c:v>
                      </c:pt>
                      <c:pt idx="125">
                        <c:v>-0.49190110875431792</c:v>
                      </c:pt>
                      <c:pt idx="126">
                        <c:v>-0.46858217834215332</c:v>
                      </c:pt>
                      <c:pt idx="127">
                        <c:v>-0.46685691323570566</c:v>
                      </c:pt>
                      <c:pt idx="128">
                        <c:v>-0.46471496901481668</c:v>
                      </c:pt>
                      <c:pt idx="129">
                        <c:v>-0.46447916072906281</c:v>
                      </c:pt>
                      <c:pt idx="130">
                        <c:v>-0.46218015604968898</c:v>
                      </c:pt>
                      <c:pt idx="131">
                        <c:v>-0.46215887660111243</c:v>
                      </c:pt>
                      <c:pt idx="132">
                        <c:v>-0.45623446596919082</c:v>
                      </c:pt>
                      <c:pt idx="133">
                        <c:v>-0.45532480324720592</c:v>
                      </c:pt>
                      <c:pt idx="134">
                        <c:v>-0.45521905003713892</c:v>
                      </c:pt>
                      <c:pt idx="135">
                        <c:v>-0.45221506659650546</c:v>
                      </c:pt>
                      <c:pt idx="136">
                        <c:v>-0.44943952121628028</c:v>
                      </c:pt>
                      <c:pt idx="137">
                        <c:v>-0.44381287923213519</c:v>
                      </c:pt>
                      <c:pt idx="138">
                        <c:v>-0.44292966667758282</c:v>
                      </c:pt>
                      <c:pt idx="139">
                        <c:v>-0.44259147832082091</c:v>
                      </c:pt>
                      <c:pt idx="140">
                        <c:v>-0.44255705762845454</c:v>
                      </c:pt>
                      <c:pt idx="141">
                        <c:v>-0.43941688967585191</c:v>
                      </c:pt>
                      <c:pt idx="142">
                        <c:v>-0.43411685803292754</c:v>
                      </c:pt>
                      <c:pt idx="143">
                        <c:v>-0.43297452649361312</c:v>
                      </c:pt>
                      <c:pt idx="144">
                        <c:v>-0.43006163242962159</c:v>
                      </c:pt>
                      <c:pt idx="145">
                        <c:v>-0.42992447518096233</c:v>
                      </c:pt>
                      <c:pt idx="146">
                        <c:v>-0.4211358811806063</c:v>
                      </c:pt>
                      <c:pt idx="147">
                        <c:v>-0.41892876613938679</c:v>
                      </c:pt>
                      <c:pt idx="148">
                        <c:v>-0.41859261717684881</c:v>
                      </c:pt>
                      <c:pt idx="149">
                        <c:v>-0.40444642103016037</c:v>
                      </c:pt>
                      <c:pt idx="150">
                        <c:v>-0.40400110771977316</c:v>
                      </c:pt>
                      <c:pt idx="151">
                        <c:v>-0.40368202539140774</c:v>
                      </c:pt>
                      <c:pt idx="152">
                        <c:v>-0.39453891288814913</c:v>
                      </c:pt>
                      <c:pt idx="153">
                        <c:v>-0.38742509793999158</c:v>
                      </c:pt>
                      <c:pt idx="154">
                        <c:v>-0.38627837080065985</c:v>
                      </c:pt>
                      <c:pt idx="155">
                        <c:v>-0.38252796871813732</c:v>
                      </c:pt>
                      <c:pt idx="156">
                        <c:v>-0.36903278481418833</c:v>
                      </c:pt>
                      <c:pt idx="157">
                        <c:v>-0.36826040883640077</c:v>
                      </c:pt>
                      <c:pt idx="158">
                        <c:v>-0.36816096479850757</c:v>
                      </c:pt>
                      <c:pt idx="159">
                        <c:v>-0.36668735205868819</c:v>
                      </c:pt>
                      <c:pt idx="160">
                        <c:v>-0.35782287537172341</c:v>
                      </c:pt>
                      <c:pt idx="161">
                        <c:v>-0.35127723401304789</c:v>
                      </c:pt>
                      <c:pt idx="162">
                        <c:v>-0.3456606382220575</c:v>
                      </c:pt>
                      <c:pt idx="163">
                        <c:v>-0.34219918207939393</c:v>
                      </c:pt>
                      <c:pt idx="164">
                        <c:v>-0.34158370802583771</c:v>
                      </c:pt>
                      <c:pt idx="165">
                        <c:v>-0.3413814704212228</c:v>
                      </c:pt>
                      <c:pt idx="166">
                        <c:v>-0.33891579010483142</c:v>
                      </c:pt>
                      <c:pt idx="167">
                        <c:v>-0.33811482895306311</c:v>
                      </c:pt>
                      <c:pt idx="168">
                        <c:v>-0.33020067828733035</c:v>
                      </c:pt>
                      <c:pt idx="169">
                        <c:v>-0.33005323653837437</c:v>
                      </c:pt>
                      <c:pt idx="170">
                        <c:v>-0.32419388631484547</c:v>
                      </c:pt>
                      <c:pt idx="171">
                        <c:v>-0.3241461268685768</c:v>
                      </c:pt>
                      <c:pt idx="172">
                        <c:v>-0.32255983091968443</c:v>
                      </c:pt>
                      <c:pt idx="173">
                        <c:v>-0.3220156216995087</c:v>
                      </c:pt>
                      <c:pt idx="174">
                        <c:v>-0.31953890995282452</c:v>
                      </c:pt>
                      <c:pt idx="175">
                        <c:v>-0.30765345080419371</c:v>
                      </c:pt>
                      <c:pt idx="176">
                        <c:v>-0.30610390436110824</c:v>
                      </c:pt>
                      <c:pt idx="177">
                        <c:v>-0.30200358040911879</c:v>
                      </c:pt>
                      <c:pt idx="178">
                        <c:v>-0.29597575736612813</c:v>
                      </c:pt>
                      <c:pt idx="179">
                        <c:v>-0.29532017863541093</c:v>
                      </c:pt>
                      <c:pt idx="180">
                        <c:v>-0.29502732973033563</c:v>
                      </c:pt>
                      <c:pt idx="181">
                        <c:v>-0.29420239520188263</c:v>
                      </c:pt>
                      <c:pt idx="182">
                        <c:v>-0.2899873559530004</c:v>
                      </c:pt>
                      <c:pt idx="183">
                        <c:v>-0.28912120951840992</c:v>
                      </c:pt>
                      <c:pt idx="184">
                        <c:v>-0.2868636791718393</c:v>
                      </c:pt>
                      <c:pt idx="185">
                        <c:v>-0.2777188273303044</c:v>
                      </c:pt>
                      <c:pt idx="186">
                        <c:v>-0.26298414402517101</c:v>
                      </c:pt>
                      <c:pt idx="187">
                        <c:v>-0.25258275020520071</c:v>
                      </c:pt>
                      <c:pt idx="188">
                        <c:v>-0.25236151769494386</c:v>
                      </c:pt>
                      <c:pt idx="189">
                        <c:v>-0.24840836269185473</c:v>
                      </c:pt>
                      <c:pt idx="190">
                        <c:v>-0.24606972013899719</c:v>
                      </c:pt>
                      <c:pt idx="191">
                        <c:v>-0.23918559160278896</c:v>
                      </c:pt>
                      <c:pt idx="192">
                        <c:v>-0.23323573792104102</c:v>
                      </c:pt>
                      <c:pt idx="193">
                        <c:v>-0.22237039391923319</c:v>
                      </c:pt>
                      <c:pt idx="194">
                        <c:v>-0.20893733243369073</c:v>
                      </c:pt>
                      <c:pt idx="195">
                        <c:v>-0.20503882076964164</c:v>
                      </c:pt>
                      <c:pt idx="196">
                        <c:v>-0.2043550376134331</c:v>
                      </c:pt>
                      <c:pt idx="197">
                        <c:v>-0.19768147668265046</c:v>
                      </c:pt>
                      <c:pt idx="198">
                        <c:v>-0.19140455010747282</c:v>
                      </c:pt>
                      <c:pt idx="199">
                        <c:v>-0.16968099447226193</c:v>
                      </c:pt>
                      <c:pt idx="200">
                        <c:v>-0.16964537347731756</c:v>
                      </c:pt>
                      <c:pt idx="201">
                        <c:v>-0.16879703965534687</c:v>
                      </c:pt>
                      <c:pt idx="202">
                        <c:v>-0.16826784219246749</c:v>
                      </c:pt>
                      <c:pt idx="203">
                        <c:v>-0.16677154074264711</c:v>
                      </c:pt>
                      <c:pt idx="204">
                        <c:v>-0.15459081945994479</c:v>
                      </c:pt>
                      <c:pt idx="205">
                        <c:v>-0.15212411736816289</c:v>
                      </c:pt>
                      <c:pt idx="206">
                        <c:v>-0.14777324559892802</c:v>
                      </c:pt>
                      <c:pt idx="207">
                        <c:v>-0.14504451462985291</c:v>
                      </c:pt>
                      <c:pt idx="208">
                        <c:v>-0.14354649476982373</c:v>
                      </c:pt>
                      <c:pt idx="209">
                        <c:v>-0.14158624510697493</c:v>
                      </c:pt>
                      <c:pt idx="210">
                        <c:v>-0.13778998766004347</c:v>
                      </c:pt>
                      <c:pt idx="211">
                        <c:v>-0.13598788358178493</c:v>
                      </c:pt>
                      <c:pt idx="212">
                        <c:v>-0.12924983375345289</c:v>
                      </c:pt>
                      <c:pt idx="213">
                        <c:v>-0.12804653068213034</c:v>
                      </c:pt>
                      <c:pt idx="214">
                        <c:v>-0.12691245570248544</c:v>
                      </c:pt>
                      <c:pt idx="215">
                        <c:v>-0.11432387402841848</c:v>
                      </c:pt>
                      <c:pt idx="216">
                        <c:v>-0.10871292885710382</c:v>
                      </c:pt>
                      <c:pt idx="217">
                        <c:v>-0.10733784815505154</c:v>
                      </c:pt>
                      <c:pt idx="218">
                        <c:v>-0.10477972003930125</c:v>
                      </c:pt>
                      <c:pt idx="219">
                        <c:v>-0.10356566754414986</c:v>
                      </c:pt>
                      <c:pt idx="220">
                        <c:v>-0.10338175015586781</c:v>
                      </c:pt>
                      <c:pt idx="221">
                        <c:v>-0.10049017366295132</c:v>
                      </c:pt>
                      <c:pt idx="222">
                        <c:v>-0.10019933003928072</c:v>
                      </c:pt>
                      <c:pt idx="223">
                        <c:v>-9.9578929710305797E-2</c:v>
                      </c:pt>
                      <c:pt idx="224">
                        <c:v>-9.9365905805647525E-2</c:v>
                      </c:pt>
                      <c:pt idx="225">
                        <c:v>-9.9165445221565118E-2</c:v>
                      </c:pt>
                      <c:pt idx="226">
                        <c:v>-9.8666171970792638E-2</c:v>
                      </c:pt>
                      <c:pt idx="227">
                        <c:v>-9.5415827575423995E-2</c:v>
                      </c:pt>
                      <c:pt idx="228">
                        <c:v>-9.5270402698784062E-2</c:v>
                      </c:pt>
                      <c:pt idx="229">
                        <c:v>-9.3221904931196864E-2</c:v>
                      </c:pt>
                      <c:pt idx="230">
                        <c:v>-9.0322522491713908E-2</c:v>
                      </c:pt>
                      <c:pt idx="231">
                        <c:v>-9.029723272079071E-2</c:v>
                      </c:pt>
                      <c:pt idx="232">
                        <c:v>-8.9725010003494754E-2</c:v>
                      </c:pt>
                      <c:pt idx="233">
                        <c:v>-8.7888656371934104E-2</c:v>
                      </c:pt>
                      <c:pt idx="234">
                        <c:v>-8.2724858708177695E-2</c:v>
                      </c:pt>
                      <c:pt idx="235">
                        <c:v>-8.0546062438083821E-2</c:v>
                      </c:pt>
                      <c:pt idx="236">
                        <c:v>-7.9333318239207751E-2</c:v>
                      </c:pt>
                      <c:pt idx="237">
                        <c:v>-7.6678320437527203E-2</c:v>
                      </c:pt>
                      <c:pt idx="238">
                        <c:v>-7.6277595032764323E-2</c:v>
                      </c:pt>
                      <c:pt idx="239">
                        <c:v>-7.5677740833442586E-2</c:v>
                      </c:pt>
                      <c:pt idx="240">
                        <c:v>-6.5789720917920569E-2</c:v>
                      </c:pt>
                      <c:pt idx="241">
                        <c:v>-4.403041632927418E-2</c:v>
                      </c:pt>
                      <c:pt idx="242">
                        <c:v>-4.0769792723178933E-2</c:v>
                      </c:pt>
                      <c:pt idx="243">
                        <c:v>-3.5641576196199454E-2</c:v>
                      </c:pt>
                      <c:pt idx="244">
                        <c:v>-3.3580272771466024E-2</c:v>
                      </c:pt>
                      <c:pt idx="245">
                        <c:v>-3.184943656219863E-2</c:v>
                      </c:pt>
                      <c:pt idx="246">
                        <c:v>-2.9297319167828739E-2</c:v>
                      </c:pt>
                      <c:pt idx="247">
                        <c:v>-2.6980783362191119E-2</c:v>
                      </c:pt>
                      <c:pt idx="248">
                        <c:v>-2.5717025410268546E-2</c:v>
                      </c:pt>
                      <c:pt idx="249">
                        <c:v>-1.8236700379650417E-2</c:v>
                      </c:pt>
                      <c:pt idx="250">
                        <c:v>-1.1991828147545514E-2</c:v>
                      </c:pt>
                      <c:pt idx="251">
                        <c:v>-1.0308601796264805E-2</c:v>
                      </c:pt>
                      <c:pt idx="252">
                        <c:v>-8.8076608031051329E-3</c:v>
                      </c:pt>
                      <c:pt idx="253">
                        <c:v>-8.0563084711735566E-3</c:v>
                      </c:pt>
                      <c:pt idx="254">
                        <c:v>-7.1135327721605357E-3</c:v>
                      </c:pt>
                      <c:pt idx="255">
                        <c:v>-6.16873810924079E-3</c:v>
                      </c:pt>
                      <c:pt idx="256">
                        <c:v>-1.9592168294897405E-3</c:v>
                      </c:pt>
                      <c:pt idx="257">
                        <c:v>-1.9318997975790175E-3</c:v>
                      </c:pt>
                      <c:pt idx="258">
                        <c:v>-1.5889088159604103E-3</c:v>
                      </c:pt>
                      <c:pt idx="259">
                        <c:v>5.096568500339238E-3</c:v>
                      </c:pt>
                      <c:pt idx="260">
                        <c:v>1.6351115619617218E-2</c:v>
                      </c:pt>
                      <c:pt idx="261">
                        <c:v>2.4033175380148153E-2</c:v>
                      </c:pt>
                      <c:pt idx="262">
                        <c:v>3.0651867087243101E-2</c:v>
                      </c:pt>
                      <c:pt idx="263">
                        <c:v>3.5715915435003742E-2</c:v>
                      </c:pt>
                      <c:pt idx="264">
                        <c:v>3.961883086589868E-2</c:v>
                      </c:pt>
                      <c:pt idx="265">
                        <c:v>4.2494213167260098E-2</c:v>
                      </c:pt>
                      <c:pt idx="266">
                        <c:v>4.581782150550584E-2</c:v>
                      </c:pt>
                      <c:pt idx="267">
                        <c:v>4.8243745886441758E-2</c:v>
                      </c:pt>
                      <c:pt idx="268">
                        <c:v>5.2306602677872904E-2</c:v>
                      </c:pt>
                      <c:pt idx="269">
                        <c:v>5.6503279025554187E-2</c:v>
                      </c:pt>
                      <c:pt idx="270">
                        <c:v>5.6726395493103432E-2</c:v>
                      </c:pt>
                      <c:pt idx="271">
                        <c:v>6.0000908353359472E-2</c:v>
                      </c:pt>
                      <c:pt idx="272">
                        <c:v>6.8213303070381981E-2</c:v>
                      </c:pt>
                      <c:pt idx="273">
                        <c:v>7.999677505432401E-2</c:v>
                      </c:pt>
                      <c:pt idx="274">
                        <c:v>8.4101843442850432E-2</c:v>
                      </c:pt>
                      <c:pt idx="275">
                        <c:v>8.9273692900438295E-2</c:v>
                      </c:pt>
                      <c:pt idx="276">
                        <c:v>9.2058430636928534E-2</c:v>
                      </c:pt>
                      <c:pt idx="277">
                        <c:v>9.605396032013358E-2</c:v>
                      </c:pt>
                      <c:pt idx="278">
                        <c:v>9.874813130667448E-2</c:v>
                      </c:pt>
                      <c:pt idx="279">
                        <c:v>0.10446459012351861</c:v>
                      </c:pt>
                      <c:pt idx="280">
                        <c:v>0.105281485798151</c:v>
                      </c:pt>
                      <c:pt idx="281">
                        <c:v>0.10646910780898233</c:v>
                      </c:pt>
                      <c:pt idx="282">
                        <c:v>0.10896012383022091</c:v>
                      </c:pt>
                      <c:pt idx="283">
                        <c:v>0.1091379661461267</c:v>
                      </c:pt>
                      <c:pt idx="284">
                        <c:v>0.10956323516055022</c:v>
                      </c:pt>
                      <c:pt idx="285">
                        <c:v>0.12262598533872171</c:v>
                      </c:pt>
                      <c:pt idx="286">
                        <c:v>0.12357934106355262</c:v>
                      </c:pt>
                      <c:pt idx="287">
                        <c:v>0.12960259612166647</c:v>
                      </c:pt>
                      <c:pt idx="288">
                        <c:v>0.13056101291316113</c:v>
                      </c:pt>
                      <c:pt idx="289">
                        <c:v>0.13478465154893637</c:v>
                      </c:pt>
                      <c:pt idx="290">
                        <c:v>0.14425460448245597</c:v>
                      </c:pt>
                      <c:pt idx="291">
                        <c:v>0.14428148514719341</c:v>
                      </c:pt>
                      <c:pt idx="292">
                        <c:v>0.14507963805066049</c:v>
                      </c:pt>
                      <c:pt idx="293">
                        <c:v>0.15546061536158717</c:v>
                      </c:pt>
                      <c:pt idx="294">
                        <c:v>0.15845346192160092</c:v>
                      </c:pt>
                      <c:pt idx="295">
                        <c:v>0.16594726351440414</c:v>
                      </c:pt>
                      <c:pt idx="296">
                        <c:v>0.16626983902972725</c:v>
                      </c:pt>
                      <c:pt idx="297">
                        <c:v>0.16842223794069366</c:v>
                      </c:pt>
                      <c:pt idx="298">
                        <c:v>0.17126579517697693</c:v>
                      </c:pt>
                      <c:pt idx="299">
                        <c:v>0.17663545437829886</c:v>
                      </c:pt>
                      <c:pt idx="300">
                        <c:v>0.17773656250660808</c:v>
                      </c:pt>
                      <c:pt idx="301">
                        <c:v>0.17820434005089636</c:v>
                      </c:pt>
                      <c:pt idx="302">
                        <c:v>0.19007871963265921</c:v>
                      </c:pt>
                      <c:pt idx="303">
                        <c:v>0.19335472428726308</c:v>
                      </c:pt>
                      <c:pt idx="304">
                        <c:v>0.19821300903640382</c:v>
                      </c:pt>
                      <c:pt idx="305">
                        <c:v>0.20017376211868454</c:v>
                      </c:pt>
                      <c:pt idx="306">
                        <c:v>0.20149770839516101</c:v>
                      </c:pt>
                      <c:pt idx="307">
                        <c:v>0.20296834178736245</c:v>
                      </c:pt>
                      <c:pt idx="308">
                        <c:v>0.20410275872597849</c:v>
                      </c:pt>
                      <c:pt idx="309">
                        <c:v>0.21416359564429444</c:v>
                      </c:pt>
                      <c:pt idx="310">
                        <c:v>0.2177899466197093</c:v>
                      </c:pt>
                      <c:pt idx="311">
                        <c:v>0.21960003919754989</c:v>
                      </c:pt>
                      <c:pt idx="312">
                        <c:v>0.22493224017262547</c:v>
                      </c:pt>
                      <c:pt idx="313">
                        <c:v>0.23131200710273436</c:v>
                      </c:pt>
                      <c:pt idx="314">
                        <c:v>0.24681646933010826</c:v>
                      </c:pt>
                      <c:pt idx="315">
                        <c:v>0.25584397346456278</c:v>
                      </c:pt>
                      <c:pt idx="316">
                        <c:v>0.2604487835601017</c:v>
                      </c:pt>
                      <c:pt idx="317">
                        <c:v>0.26238300222997357</c:v>
                      </c:pt>
                      <c:pt idx="318">
                        <c:v>0.26459036080682474</c:v>
                      </c:pt>
                      <c:pt idx="319">
                        <c:v>0.26942033541585708</c:v>
                      </c:pt>
                      <c:pt idx="320">
                        <c:v>0.27531624934626397</c:v>
                      </c:pt>
                      <c:pt idx="321">
                        <c:v>0.27740407554636248</c:v>
                      </c:pt>
                      <c:pt idx="322">
                        <c:v>0.27890426620415298</c:v>
                      </c:pt>
                      <c:pt idx="323">
                        <c:v>0.27938001398692447</c:v>
                      </c:pt>
                      <c:pt idx="324">
                        <c:v>0.2841785590726067</c:v>
                      </c:pt>
                      <c:pt idx="325">
                        <c:v>0.28508511801291747</c:v>
                      </c:pt>
                      <c:pt idx="326">
                        <c:v>0.2856983927020722</c:v>
                      </c:pt>
                      <c:pt idx="327">
                        <c:v>0.28941484952860574</c:v>
                      </c:pt>
                      <c:pt idx="328">
                        <c:v>0.29676009085199784</c:v>
                      </c:pt>
                      <c:pt idx="329">
                        <c:v>0.30392968561399147</c:v>
                      </c:pt>
                      <c:pt idx="330">
                        <c:v>0.30472526103078335</c:v>
                      </c:pt>
                      <c:pt idx="331">
                        <c:v>0.30482938716376795</c:v>
                      </c:pt>
                      <c:pt idx="332">
                        <c:v>0.3054499353391158</c:v>
                      </c:pt>
                      <c:pt idx="333">
                        <c:v>0.31105906082138612</c:v>
                      </c:pt>
                      <c:pt idx="334">
                        <c:v>0.3126429389452392</c:v>
                      </c:pt>
                      <c:pt idx="335">
                        <c:v>0.31362756381816648</c:v>
                      </c:pt>
                      <c:pt idx="336">
                        <c:v>0.31933151892462819</c:v>
                      </c:pt>
                      <c:pt idx="337">
                        <c:v>0.32562059763942086</c:v>
                      </c:pt>
                      <c:pt idx="338">
                        <c:v>0.32991674218500644</c:v>
                      </c:pt>
                      <c:pt idx="339">
                        <c:v>0.33860151839900077</c:v>
                      </c:pt>
                      <c:pt idx="340">
                        <c:v>0.3449119226318158</c:v>
                      </c:pt>
                      <c:pt idx="341">
                        <c:v>0.35225865052387406</c:v>
                      </c:pt>
                      <c:pt idx="342">
                        <c:v>0.35366811638638618</c:v>
                      </c:pt>
                      <c:pt idx="343">
                        <c:v>0.35631870937487142</c:v>
                      </c:pt>
                      <c:pt idx="344">
                        <c:v>0.36102021486553237</c:v>
                      </c:pt>
                      <c:pt idx="345">
                        <c:v>0.36789250668272988</c:v>
                      </c:pt>
                      <c:pt idx="346">
                        <c:v>0.37690016775992019</c:v>
                      </c:pt>
                      <c:pt idx="347">
                        <c:v>0.38095057346528582</c:v>
                      </c:pt>
                      <c:pt idx="348">
                        <c:v>0.38518371909666715</c:v>
                      </c:pt>
                      <c:pt idx="349">
                        <c:v>0.38855390128338119</c:v>
                      </c:pt>
                      <c:pt idx="350">
                        <c:v>0.3943767869942123</c:v>
                      </c:pt>
                      <c:pt idx="351">
                        <c:v>0.3984989390542264</c:v>
                      </c:pt>
                      <c:pt idx="352">
                        <c:v>0.39963436571418476</c:v>
                      </c:pt>
                      <c:pt idx="353">
                        <c:v>0.39985308854880852</c:v>
                      </c:pt>
                      <c:pt idx="354">
                        <c:v>0.4001457591109896</c:v>
                      </c:pt>
                      <c:pt idx="355">
                        <c:v>0.40053378616590796</c:v>
                      </c:pt>
                      <c:pt idx="356">
                        <c:v>0.40087815855451359</c:v>
                      </c:pt>
                      <c:pt idx="357">
                        <c:v>0.40497364439729466</c:v>
                      </c:pt>
                      <c:pt idx="358">
                        <c:v>0.40538415559204277</c:v>
                      </c:pt>
                      <c:pt idx="359">
                        <c:v>0.41106284376938151</c:v>
                      </c:pt>
                      <c:pt idx="360">
                        <c:v>0.41143817407963756</c:v>
                      </c:pt>
                      <c:pt idx="361">
                        <c:v>0.41344747562895834</c:v>
                      </c:pt>
                      <c:pt idx="362">
                        <c:v>0.41559735081650273</c:v>
                      </c:pt>
                      <c:pt idx="363">
                        <c:v>0.41594290473140383</c:v>
                      </c:pt>
                      <c:pt idx="364">
                        <c:v>0.4171780915975698</c:v>
                      </c:pt>
                      <c:pt idx="365">
                        <c:v>0.41899226852993454</c:v>
                      </c:pt>
                      <c:pt idx="366">
                        <c:v>0.42006774509120959</c:v>
                      </c:pt>
                      <c:pt idx="367">
                        <c:v>0.42324953337988425</c:v>
                      </c:pt>
                      <c:pt idx="368">
                        <c:v>0.42379839802121388</c:v>
                      </c:pt>
                      <c:pt idx="369">
                        <c:v>0.42413373952771338</c:v>
                      </c:pt>
                      <c:pt idx="370">
                        <c:v>0.42864354576378849</c:v>
                      </c:pt>
                      <c:pt idx="371">
                        <c:v>0.43191066679124934</c:v>
                      </c:pt>
                      <c:pt idx="372">
                        <c:v>0.43624705301026645</c:v>
                      </c:pt>
                      <c:pt idx="373">
                        <c:v>0.43652114145597531</c:v>
                      </c:pt>
                      <c:pt idx="374">
                        <c:v>0.44548957469626838</c:v>
                      </c:pt>
                      <c:pt idx="375">
                        <c:v>0.44639217177081747</c:v>
                      </c:pt>
                      <c:pt idx="376">
                        <c:v>0.45561269587468711</c:v>
                      </c:pt>
                      <c:pt idx="377">
                        <c:v>0.45567446963747282</c:v>
                      </c:pt>
                      <c:pt idx="378">
                        <c:v>0.46507024000040031</c:v>
                      </c:pt>
                      <c:pt idx="379">
                        <c:v>0.46822930485197833</c:v>
                      </c:pt>
                      <c:pt idx="380">
                        <c:v>0.47311977283555651</c:v>
                      </c:pt>
                      <c:pt idx="381">
                        <c:v>0.47404182169053422</c:v>
                      </c:pt>
                      <c:pt idx="382">
                        <c:v>0.48053601252526157</c:v>
                      </c:pt>
                      <c:pt idx="383">
                        <c:v>0.48247508429068553</c:v>
                      </c:pt>
                      <c:pt idx="384">
                        <c:v>0.4875916666747655</c:v>
                      </c:pt>
                      <c:pt idx="385">
                        <c:v>0.48866140858753004</c:v>
                      </c:pt>
                      <c:pt idx="386">
                        <c:v>0.49447450722193631</c:v>
                      </c:pt>
                      <c:pt idx="387">
                        <c:v>0.49819408964484246</c:v>
                      </c:pt>
                      <c:pt idx="388">
                        <c:v>0.50096197711386048</c:v>
                      </c:pt>
                      <c:pt idx="389">
                        <c:v>0.50185715751374427</c:v>
                      </c:pt>
                      <c:pt idx="390">
                        <c:v>0.51032928821294377</c:v>
                      </c:pt>
                      <c:pt idx="391">
                        <c:v>0.51922080571354634</c:v>
                      </c:pt>
                      <c:pt idx="392">
                        <c:v>0.52225653490066892</c:v>
                      </c:pt>
                      <c:pt idx="393">
                        <c:v>0.5224245126118312</c:v>
                      </c:pt>
                      <c:pt idx="394">
                        <c:v>0.52546123823654844</c:v>
                      </c:pt>
                      <c:pt idx="395">
                        <c:v>0.53383105284190879</c:v>
                      </c:pt>
                      <c:pt idx="396">
                        <c:v>0.53713451251334843</c:v>
                      </c:pt>
                      <c:pt idx="397">
                        <c:v>0.53845921683900411</c:v>
                      </c:pt>
                      <c:pt idx="398">
                        <c:v>0.54751622016883483</c:v>
                      </c:pt>
                      <c:pt idx="399">
                        <c:v>0.55112210099525516</c:v>
                      </c:pt>
                      <c:pt idx="400">
                        <c:v>0.56428207499401473</c:v>
                      </c:pt>
                      <c:pt idx="401">
                        <c:v>0.56560109106349654</c:v>
                      </c:pt>
                      <c:pt idx="402">
                        <c:v>0.56847270854909882</c:v>
                      </c:pt>
                      <c:pt idx="403">
                        <c:v>0.56902952746162794</c:v>
                      </c:pt>
                      <c:pt idx="404">
                        <c:v>0.57284823209129376</c:v>
                      </c:pt>
                      <c:pt idx="405">
                        <c:v>0.57301397370959517</c:v>
                      </c:pt>
                      <c:pt idx="406">
                        <c:v>0.57536616401202401</c:v>
                      </c:pt>
                      <c:pt idx="407">
                        <c:v>0.57901701410609974</c:v>
                      </c:pt>
                      <c:pt idx="408">
                        <c:v>0.58121162097704038</c:v>
                      </c:pt>
                      <c:pt idx="409">
                        <c:v>0.58146680738898837</c:v>
                      </c:pt>
                      <c:pt idx="410">
                        <c:v>0.59181502940724573</c:v>
                      </c:pt>
                      <c:pt idx="411">
                        <c:v>0.59212360201031533</c:v>
                      </c:pt>
                      <c:pt idx="412">
                        <c:v>0.59852272941124074</c:v>
                      </c:pt>
                      <c:pt idx="413">
                        <c:v>0.6225213230705704</c:v>
                      </c:pt>
                      <c:pt idx="414">
                        <c:v>0.62325590660328722</c:v>
                      </c:pt>
                      <c:pt idx="415">
                        <c:v>0.62547439468750121</c:v>
                      </c:pt>
                      <c:pt idx="416">
                        <c:v>0.64031319742721582</c:v>
                      </c:pt>
                      <c:pt idx="417">
                        <c:v>0.64708376421736347</c:v>
                      </c:pt>
                      <c:pt idx="418">
                        <c:v>0.65523358098070816</c:v>
                      </c:pt>
                      <c:pt idx="419">
                        <c:v>0.65580637647983053</c:v>
                      </c:pt>
                      <c:pt idx="420">
                        <c:v>0.66290413953856442</c:v>
                      </c:pt>
                      <c:pt idx="421">
                        <c:v>0.66593246857349286</c:v>
                      </c:pt>
                      <c:pt idx="422">
                        <c:v>0.6843632574204197</c:v>
                      </c:pt>
                      <c:pt idx="423">
                        <c:v>0.68880155061736859</c:v>
                      </c:pt>
                      <c:pt idx="424">
                        <c:v>0.68969504749298927</c:v>
                      </c:pt>
                      <c:pt idx="425">
                        <c:v>0.69101889557314289</c:v>
                      </c:pt>
                      <c:pt idx="426">
                        <c:v>0.70431965978802835</c:v>
                      </c:pt>
                      <c:pt idx="427">
                        <c:v>0.70506759712568812</c:v>
                      </c:pt>
                      <c:pt idx="428">
                        <c:v>0.70912208999597826</c:v>
                      </c:pt>
                      <c:pt idx="429">
                        <c:v>0.71118400118181913</c:v>
                      </c:pt>
                      <c:pt idx="430">
                        <c:v>0.71331548482144402</c:v>
                      </c:pt>
                      <c:pt idx="431">
                        <c:v>0.7139885112845219</c:v>
                      </c:pt>
                      <c:pt idx="432">
                        <c:v>0.71644222517241207</c:v>
                      </c:pt>
                      <c:pt idx="433">
                        <c:v>0.72020423114995147</c:v>
                      </c:pt>
                      <c:pt idx="434">
                        <c:v>0.72836553572387275</c:v>
                      </c:pt>
                      <c:pt idx="435">
                        <c:v>0.73232591183881102</c:v>
                      </c:pt>
                      <c:pt idx="436">
                        <c:v>0.73338959720448149</c:v>
                      </c:pt>
                      <c:pt idx="437">
                        <c:v>0.73763449882191456</c:v>
                      </c:pt>
                      <c:pt idx="438">
                        <c:v>0.7521887108340668</c:v>
                      </c:pt>
                      <c:pt idx="439">
                        <c:v>0.75485499665156652</c:v>
                      </c:pt>
                      <c:pt idx="440">
                        <c:v>0.75845707121856143</c:v>
                      </c:pt>
                      <c:pt idx="441">
                        <c:v>0.75857508797715134</c:v>
                      </c:pt>
                      <c:pt idx="442">
                        <c:v>0.76311403797547639</c:v>
                      </c:pt>
                      <c:pt idx="443">
                        <c:v>0.76529889911050075</c:v>
                      </c:pt>
                      <c:pt idx="444">
                        <c:v>0.76726477289307904</c:v>
                      </c:pt>
                      <c:pt idx="445">
                        <c:v>0.77237145626792891</c:v>
                      </c:pt>
                      <c:pt idx="446">
                        <c:v>0.77566549428490905</c:v>
                      </c:pt>
                      <c:pt idx="447">
                        <c:v>0.78654306515559003</c:v>
                      </c:pt>
                      <c:pt idx="448">
                        <c:v>0.78820851157762628</c:v>
                      </c:pt>
                      <c:pt idx="449">
                        <c:v>0.80156635078397631</c:v>
                      </c:pt>
                      <c:pt idx="450">
                        <c:v>0.80177091359399988</c:v>
                      </c:pt>
                      <c:pt idx="451">
                        <c:v>0.80640333201748016</c:v>
                      </c:pt>
                      <c:pt idx="452">
                        <c:v>0.80679396746290544</c:v>
                      </c:pt>
                      <c:pt idx="453">
                        <c:v>0.8078504491769174</c:v>
                      </c:pt>
                      <c:pt idx="454">
                        <c:v>0.81234726897357001</c:v>
                      </c:pt>
                      <c:pt idx="455">
                        <c:v>0.81240989501376726</c:v>
                      </c:pt>
                      <c:pt idx="456">
                        <c:v>0.81975611466360121</c:v>
                      </c:pt>
                      <c:pt idx="457">
                        <c:v>0.82156532585932629</c:v>
                      </c:pt>
                      <c:pt idx="458">
                        <c:v>0.82422935280790721</c:v>
                      </c:pt>
                      <c:pt idx="459">
                        <c:v>0.82461931942006772</c:v>
                      </c:pt>
                      <c:pt idx="460">
                        <c:v>0.82524761317827688</c:v>
                      </c:pt>
                      <c:pt idx="461">
                        <c:v>0.84996856278064437</c:v>
                      </c:pt>
                      <c:pt idx="462">
                        <c:v>0.85876583922885175</c:v>
                      </c:pt>
                      <c:pt idx="463">
                        <c:v>0.86192118286878006</c:v>
                      </c:pt>
                      <c:pt idx="464">
                        <c:v>0.86526701689152197</c:v>
                      </c:pt>
                      <c:pt idx="465">
                        <c:v>0.86646057759272588</c:v>
                      </c:pt>
                      <c:pt idx="466">
                        <c:v>0.86736821677069043</c:v>
                      </c:pt>
                      <c:pt idx="467">
                        <c:v>0.87071353596203505</c:v>
                      </c:pt>
                      <c:pt idx="468">
                        <c:v>0.87191227231929713</c:v>
                      </c:pt>
                      <c:pt idx="469">
                        <c:v>0.87762800893390525</c:v>
                      </c:pt>
                      <c:pt idx="470">
                        <c:v>0.87767993536837086</c:v>
                      </c:pt>
                      <c:pt idx="471">
                        <c:v>0.87994902286469068</c:v>
                      </c:pt>
                      <c:pt idx="472">
                        <c:v>0.88136814014125475</c:v>
                      </c:pt>
                      <c:pt idx="473">
                        <c:v>0.88138017463922158</c:v>
                      </c:pt>
                      <c:pt idx="474">
                        <c:v>0.88317556368991323</c:v>
                      </c:pt>
                      <c:pt idx="475">
                        <c:v>0.8875152526955814</c:v>
                      </c:pt>
                      <c:pt idx="476">
                        <c:v>0.88954740907501195</c:v>
                      </c:pt>
                      <c:pt idx="477">
                        <c:v>0.89349265784436693</c:v>
                      </c:pt>
                      <c:pt idx="478">
                        <c:v>0.89463023852366397</c:v>
                      </c:pt>
                      <c:pt idx="479">
                        <c:v>0.89847269348797187</c:v>
                      </c:pt>
                      <c:pt idx="480">
                        <c:v>0.90152957998348349</c:v>
                      </c:pt>
                      <c:pt idx="481">
                        <c:v>0.90399671530922943</c:v>
                      </c:pt>
                      <c:pt idx="482">
                        <c:v>0.90669787895406473</c:v>
                      </c:pt>
                      <c:pt idx="483">
                        <c:v>0.9072644580258975</c:v>
                      </c:pt>
                      <c:pt idx="484">
                        <c:v>0.90805376086807343</c:v>
                      </c:pt>
                      <c:pt idx="485">
                        <c:v>0.90896408191004041</c:v>
                      </c:pt>
                      <c:pt idx="486">
                        <c:v>0.90977800713774815</c:v>
                      </c:pt>
                      <c:pt idx="487">
                        <c:v>0.91020463883465252</c:v>
                      </c:pt>
                      <c:pt idx="488">
                        <c:v>0.91193214326818084</c:v>
                      </c:pt>
                      <c:pt idx="489">
                        <c:v>0.92364025585072307</c:v>
                      </c:pt>
                      <c:pt idx="490">
                        <c:v>0.92967719639312296</c:v>
                      </c:pt>
                      <c:pt idx="491">
                        <c:v>0.93179024597484306</c:v>
                      </c:pt>
                      <c:pt idx="492">
                        <c:v>0.93435889334923594</c:v>
                      </c:pt>
                      <c:pt idx="493">
                        <c:v>0.94287322031354903</c:v>
                      </c:pt>
                      <c:pt idx="494">
                        <c:v>0.94929933181312598</c:v>
                      </c:pt>
                      <c:pt idx="495">
                        <c:v>0.96591990619860479</c:v>
                      </c:pt>
                      <c:pt idx="496">
                        <c:v>0.97510374736191108</c:v>
                      </c:pt>
                      <c:pt idx="497">
                        <c:v>0.9830265698316103</c:v>
                      </c:pt>
                      <c:pt idx="498">
                        <c:v>0.98914940312263888</c:v>
                      </c:pt>
                      <c:pt idx="499">
                        <c:v>0.99358354390211145</c:v>
                      </c:pt>
                      <c:pt idx="500">
                        <c:v>0.99385439534751252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'test function'!$L$7:$L$507</c15:sqref>
                        </c15:formulaRef>
                      </c:ext>
                    </c:extLst>
                    <c:numCache>
                      <c:formatCode>0.000</c:formatCode>
                      <c:ptCount val="501"/>
                      <c:pt idx="0">
                        <c:v>2.946428694513593E-3</c:v>
                      </c:pt>
                      <c:pt idx="1">
                        <c:v>2.9650092760162691E-3</c:v>
                      </c:pt>
                      <c:pt idx="2">
                        <c:v>7.2183882714380162E-3</c:v>
                      </c:pt>
                      <c:pt idx="3">
                        <c:v>1.4849989804886155E-2</c:v>
                      </c:pt>
                      <c:pt idx="4">
                        <c:v>2.5149929450028644E-2</c:v>
                      </c:pt>
                      <c:pt idx="5">
                        <c:v>3.9950649444691205E-2</c:v>
                      </c:pt>
                      <c:pt idx="6">
                        <c:v>4.9024887824232324E-2</c:v>
                      </c:pt>
                      <c:pt idx="7">
                        <c:v>7.1580910172214476E-2</c:v>
                      </c:pt>
                      <c:pt idx="8">
                        <c:v>9.5335904272279212E-2</c:v>
                      </c:pt>
                      <c:pt idx="9">
                        <c:v>0.14442156301648545</c:v>
                      </c:pt>
                      <c:pt idx="10">
                        <c:v>0.23671960220436311</c:v>
                      </c:pt>
                      <c:pt idx="11">
                        <c:v>0.32196454137848451</c:v>
                      </c:pt>
                      <c:pt idx="12">
                        <c:v>0.34330035092371425</c:v>
                      </c:pt>
                      <c:pt idx="13">
                        <c:v>0.37887221436905044</c:v>
                      </c:pt>
                      <c:pt idx="14">
                        <c:v>0.40567430080311728</c:v>
                      </c:pt>
                      <c:pt idx="15">
                        <c:v>0.45398634089917589</c:v>
                      </c:pt>
                      <c:pt idx="16">
                        <c:v>0.45622032915585015</c:v>
                      </c:pt>
                      <c:pt idx="17">
                        <c:v>0.46395187816296857</c:v>
                      </c:pt>
                      <c:pt idx="18">
                        <c:v>0.47904732471218281</c:v>
                      </c:pt>
                      <c:pt idx="19">
                        <c:v>0.49566342158715426</c:v>
                      </c:pt>
                      <c:pt idx="20">
                        <c:v>0.61064591630812848</c:v>
                      </c:pt>
                      <c:pt idx="21">
                        <c:v>0.62029138854153365</c:v>
                      </c:pt>
                      <c:pt idx="22">
                        <c:v>0.65836330344381999</c:v>
                      </c:pt>
                      <c:pt idx="23">
                        <c:v>0.72308695498433906</c:v>
                      </c:pt>
                      <c:pt idx="24">
                        <c:v>0.76212292733059428</c:v>
                      </c:pt>
                      <c:pt idx="25">
                        <c:v>0.96879390216923056</c:v>
                      </c:pt>
                      <c:pt idx="26">
                        <c:v>1.0180021036791005</c:v>
                      </c:pt>
                      <c:pt idx="27">
                        <c:v>1.0353752471725441</c:v>
                      </c:pt>
                      <c:pt idx="28">
                        <c:v>1.0963569802675586</c:v>
                      </c:pt>
                      <c:pt idx="29">
                        <c:v>1.1667731614448791</c:v>
                      </c:pt>
                      <c:pt idx="30">
                        <c:v>1.2461758652280994</c:v>
                      </c:pt>
                      <c:pt idx="31">
                        <c:v>1.2607833219850273</c:v>
                      </c:pt>
                      <c:pt idx="32">
                        <c:v>1.3079933899529725</c:v>
                      </c:pt>
                      <c:pt idx="33">
                        <c:v>1.3099298220761861</c:v>
                      </c:pt>
                      <c:pt idx="34">
                        <c:v>1.3153543659092881</c:v>
                      </c:pt>
                      <c:pt idx="35">
                        <c:v>1.4472157780623862</c:v>
                      </c:pt>
                      <c:pt idx="36">
                        <c:v>1.5126957682608368</c:v>
                      </c:pt>
                      <c:pt idx="37">
                        <c:v>1.5171728043528088</c:v>
                      </c:pt>
                      <c:pt idx="38">
                        <c:v>1.5283230846367326</c:v>
                      </c:pt>
                      <c:pt idx="39">
                        <c:v>1.5540256306000426</c:v>
                      </c:pt>
                      <c:pt idx="40">
                        <c:v>1.574593261767514</c:v>
                      </c:pt>
                      <c:pt idx="41">
                        <c:v>1.6120560372041981</c:v>
                      </c:pt>
                      <c:pt idx="42">
                        <c:v>1.6632014626704212</c:v>
                      </c:pt>
                      <c:pt idx="43">
                        <c:v>1.6827213471052127</c:v>
                      </c:pt>
                      <c:pt idx="44">
                        <c:v>1.722549417216253</c:v>
                      </c:pt>
                      <c:pt idx="45">
                        <c:v>1.72313609809491</c:v>
                      </c:pt>
                      <c:pt idx="46">
                        <c:v>1.7415622188833537</c:v>
                      </c:pt>
                      <c:pt idx="47">
                        <c:v>1.7530496794570016</c:v>
                      </c:pt>
                      <c:pt idx="48">
                        <c:v>1.7939566591473526</c:v>
                      </c:pt>
                      <c:pt idx="49">
                        <c:v>1.8164300553377308</c:v>
                      </c:pt>
                      <c:pt idx="50">
                        <c:v>1.8193137550951157</c:v>
                      </c:pt>
                      <c:pt idx="51">
                        <c:v>1.8584312377410297</c:v>
                      </c:pt>
                      <c:pt idx="52">
                        <c:v>1.8607523871197631</c:v>
                      </c:pt>
                      <c:pt idx="53">
                        <c:v>1.8680100215559514</c:v>
                      </c:pt>
                      <c:pt idx="54">
                        <c:v>1.8953761329499883</c:v>
                      </c:pt>
                      <c:pt idx="55">
                        <c:v>1.8963286230870207</c:v>
                      </c:pt>
                      <c:pt idx="56">
                        <c:v>1.9009626927158276</c:v>
                      </c:pt>
                      <c:pt idx="57">
                        <c:v>1.9062329086398679</c:v>
                      </c:pt>
                      <c:pt idx="58">
                        <c:v>1.9121315305805751</c:v>
                      </c:pt>
                      <c:pt idx="59">
                        <c:v>1.9254063462983597</c:v>
                      </c:pt>
                      <c:pt idx="60">
                        <c:v>1.9257547984229773</c:v>
                      </c:pt>
                      <c:pt idx="61">
                        <c:v>1.9273077654457518</c:v>
                      </c:pt>
                      <c:pt idx="62">
                        <c:v>1.9282789227157491</c:v>
                      </c:pt>
                      <c:pt idx="63">
                        <c:v>1.9296717046845577</c:v>
                      </c:pt>
                      <c:pt idx="64">
                        <c:v>1.9295164440934691</c:v>
                      </c:pt>
                      <c:pt idx="65">
                        <c:v>1.9279191002846336</c:v>
                      </c:pt>
                      <c:pt idx="66">
                        <c:v>1.9249090775152036</c:v>
                      </c:pt>
                      <c:pt idx="67">
                        <c:v>1.9111982911341023</c:v>
                      </c:pt>
                      <c:pt idx="68">
                        <c:v>1.8857376242546202</c:v>
                      </c:pt>
                      <c:pt idx="69">
                        <c:v>1.8851667078498919</c:v>
                      </c:pt>
                      <c:pt idx="70">
                        <c:v>1.8743511179360681</c:v>
                      </c:pt>
                      <c:pt idx="71">
                        <c:v>1.8692507152813882</c:v>
                      </c:pt>
                      <c:pt idx="72">
                        <c:v>1.8648451056311468</c:v>
                      </c:pt>
                      <c:pt idx="73">
                        <c:v>1.8575297790840397</c:v>
                      </c:pt>
                      <c:pt idx="74">
                        <c:v>1.8486226383494342</c:v>
                      </c:pt>
                      <c:pt idx="75">
                        <c:v>1.8023425875966654</c:v>
                      </c:pt>
                      <c:pt idx="76">
                        <c:v>1.7870720338381443</c:v>
                      </c:pt>
                      <c:pt idx="77">
                        <c:v>1.768171682434885</c:v>
                      </c:pt>
                      <c:pt idx="78">
                        <c:v>1.7560486073596104</c:v>
                      </c:pt>
                      <c:pt idx="79">
                        <c:v>1.7558288677462408</c:v>
                      </c:pt>
                      <c:pt idx="80">
                        <c:v>1.7195323034649259</c:v>
                      </c:pt>
                      <c:pt idx="81">
                        <c:v>1.718761160245966</c:v>
                      </c:pt>
                      <c:pt idx="82">
                        <c:v>1.6896494062355729</c:v>
                      </c:pt>
                      <c:pt idx="83">
                        <c:v>1.6749397163381525</c:v>
                      </c:pt>
                      <c:pt idx="84">
                        <c:v>1.6701028130114461</c:v>
                      </c:pt>
                      <c:pt idx="85">
                        <c:v>1.6579231188368124</c:v>
                      </c:pt>
                      <c:pt idx="86">
                        <c:v>1.6467177604014869</c:v>
                      </c:pt>
                      <c:pt idx="87">
                        <c:v>1.6313568204952249</c:v>
                      </c:pt>
                      <c:pt idx="88">
                        <c:v>1.6140140934975555</c:v>
                      </c:pt>
                      <c:pt idx="89">
                        <c:v>1.5632171192376818</c:v>
                      </c:pt>
                      <c:pt idx="90">
                        <c:v>1.5555985174532467</c:v>
                      </c:pt>
                      <c:pt idx="91">
                        <c:v>1.5371797935134746</c:v>
                      </c:pt>
                      <c:pt idx="92">
                        <c:v>1.4833380417143038</c:v>
                      </c:pt>
                      <c:pt idx="93">
                        <c:v>1.4814356015073347</c:v>
                      </c:pt>
                      <c:pt idx="94">
                        <c:v>1.459289059067163</c:v>
                      </c:pt>
                      <c:pt idx="95">
                        <c:v>1.448914618997198</c:v>
                      </c:pt>
                      <c:pt idx="96">
                        <c:v>1.4443904286707268</c:v>
                      </c:pt>
                      <c:pt idx="97">
                        <c:v>1.3921772088946829</c:v>
                      </c:pt>
                      <c:pt idx="98">
                        <c:v>1.3914711958930961</c:v>
                      </c:pt>
                      <c:pt idx="99">
                        <c:v>1.3906680549502271</c:v>
                      </c:pt>
                      <c:pt idx="100">
                        <c:v>1.3717193051566654</c:v>
                      </c:pt>
                      <c:pt idx="101">
                        <c:v>1.362910403464989</c:v>
                      </c:pt>
                      <c:pt idx="102">
                        <c:v>1.331344489006417</c:v>
                      </c:pt>
                      <c:pt idx="103">
                        <c:v>1.3270227221469664</c:v>
                      </c:pt>
                      <c:pt idx="104">
                        <c:v>1.3139531654902525</c:v>
                      </c:pt>
                      <c:pt idx="105">
                        <c:v>1.3117865314922119</c:v>
                      </c:pt>
                      <c:pt idx="106">
                        <c:v>1.3077817696857783</c:v>
                      </c:pt>
                      <c:pt idx="107">
                        <c:v>1.2870633964462799</c:v>
                      </c:pt>
                      <c:pt idx="108">
                        <c:v>1.2586664090571604</c:v>
                      </c:pt>
                      <c:pt idx="109">
                        <c:v>1.2451827876280928</c:v>
                      </c:pt>
                      <c:pt idx="110">
                        <c:v>1.2292472644867469</c:v>
                      </c:pt>
                      <c:pt idx="111">
                        <c:v>1.2211932544409068</c:v>
                      </c:pt>
                      <c:pt idx="112">
                        <c:v>1.1785230315131621</c:v>
                      </c:pt>
                      <c:pt idx="113">
                        <c:v>1.1543971325366367</c:v>
                      </c:pt>
                      <c:pt idx="114">
                        <c:v>1.1530934361096619</c:v>
                      </c:pt>
                      <c:pt idx="115">
                        <c:v>1.1330075093441667</c:v>
                      </c:pt>
                      <c:pt idx="116">
                        <c:v>1.1221722003627543</c:v>
                      </c:pt>
                      <c:pt idx="117">
                        <c:v>1.1136664296758161</c:v>
                      </c:pt>
                      <c:pt idx="118">
                        <c:v>1.0501104023015948</c:v>
                      </c:pt>
                      <c:pt idx="119">
                        <c:v>0.99394735854764493</c:v>
                      </c:pt>
                      <c:pt idx="120">
                        <c:v>0.95348984469033782</c:v>
                      </c:pt>
                      <c:pt idx="121">
                        <c:v>0.93744348244085007</c:v>
                      </c:pt>
                      <c:pt idx="122">
                        <c:v>0.9112356131246061</c:v>
                      </c:pt>
                      <c:pt idx="123">
                        <c:v>0.88982086645032654</c:v>
                      </c:pt>
                      <c:pt idx="124">
                        <c:v>0.8517911644265509</c:v>
                      </c:pt>
                      <c:pt idx="125">
                        <c:v>0.82529453628036686</c:v>
                      </c:pt>
                      <c:pt idx="126">
                        <c:v>0.70372943756830519</c:v>
                      </c:pt>
                      <c:pt idx="127">
                        <c:v>0.6950929528875669</c:v>
                      </c:pt>
                      <c:pt idx="128">
                        <c:v>0.68444332187107138</c:v>
                      </c:pt>
                      <c:pt idx="129">
                        <c:v>0.68327585471791363</c:v>
                      </c:pt>
                      <c:pt idx="130">
                        <c:v>0.67194564861574835</c:v>
                      </c:pt>
                      <c:pt idx="131">
                        <c:v>0.67184121923541984</c:v>
                      </c:pt>
                      <c:pt idx="132">
                        <c:v>0.64308695191529708</c:v>
                      </c:pt>
                      <c:pt idx="133">
                        <c:v>0.63872895356546899</c:v>
                      </c:pt>
                      <c:pt idx="134">
                        <c:v>0.63822330881986267</c:v>
                      </c:pt>
                      <c:pt idx="135">
                        <c:v>0.62394731566581507</c:v>
                      </c:pt>
                      <c:pt idx="136">
                        <c:v>0.61090779061606015</c:v>
                      </c:pt>
                      <c:pt idx="137">
                        <c:v>0.58492478879183252</c:v>
                      </c:pt>
                      <c:pt idx="138">
                        <c:v>0.58090168238061068</c:v>
                      </c:pt>
                      <c:pt idx="139">
                        <c:v>0.57936521872254454</c:v>
                      </c:pt>
                      <c:pt idx="140">
                        <c:v>0.57920896273260214</c:v>
                      </c:pt>
                      <c:pt idx="141">
                        <c:v>0.56505117000921967</c:v>
                      </c:pt>
                      <c:pt idx="142">
                        <c:v>0.54159545821944144</c:v>
                      </c:pt>
                      <c:pt idx="143">
                        <c:v>0.536612976465908</c:v>
                      </c:pt>
                      <c:pt idx="144">
                        <c:v>0.52402589389421417</c:v>
                      </c:pt>
                      <c:pt idx="145">
                        <c:v>0.5234374076719609</c:v>
                      </c:pt>
                      <c:pt idx="146">
                        <c:v>0.4865211224085873</c:v>
                      </c:pt>
                      <c:pt idx="147">
                        <c:v>0.47749670577595149</c:v>
                      </c:pt>
                      <c:pt idx="148">
                        <c:v>0.47613099634236489</c:v>
                      </c:pt>
                      <c:pt idx="149">
                        <c:v>0.42076162510893844</c:v>
                      </c:pt>
                      <c:pt idx="150">
                        <c:v>0.41908560182968341</c:v>
                      </c:pt>
                      <c:pt idx="151">
                        <c:v>0.41788719324664753</c:v>
                      </c:pt>
                      <c:pt idx="152">
                        <c:v>0.38444166836765564</c:v>
                      </c:pt>
                      <c:pt idx="153">
                        <c:v>0.35961379124285126</c:v>
                      </c:pt>
                      <c:pt idx="154">
                        <c:v>0.35570923544915733</c:v>
                      </c:pt>
                      <c:pt idx="155">
                        <c:v>0.34312807642183868</c:v>
                      </c:pt>
                      <c:pt idx="156">
                        <c:v>0.30023495123254695</c:v>
                      </c:pt>
                      <c:pt idx="157">
                        <c:v>0.29789180622898603</c:v>
                      </c:pt>
                      <c:pt idx="158">
                        <c:v>0.29759099770621916</c:v>
                      </c:pt>
                      <c:pt idx="159">
                        <c:v>0.29315678314339538</c:v>
                      </c:pt>
                      <c:pt idx="160">
                        <c:v>0.26739917862160878</c:v>
                      </c:pt>
                      <c:pt idx="161">
                        <c:v>0.2493769099783166</c:v>
                      </c:pt>
                      <c:pt idx="162">
                        <c:v>0.23457766938822311</c:v>
                      </c:pt>
                      <c:pt idx="163">
                        <c:v>0.22575901530661857</c:v>
                      </c:pt>
                      <c:pt idx="164">
                        <c:v>0.2242148957576518</c:v>
                      </c:pt>
                      <c:pt idx="165">
                        <c:v>0.22370908535993334</c:v>
                      </c:pt>
                      <c:pt idx="166">
                        <c:v>0.21760447573639261</c:v>
                      </c:pt>
                      <c:pt idx="167">
                        <c:v>0.21564609913533103</c:v>
                      </c:pt>
                      <c:pt idx="168">
                        <c:v>0.1969387479027227</c:v>
                      </c:pt>
                      <c:pt idx="169">
                        <c:v>0.19660120583308888</c:v>
                      </c:pt>
                      <c:pt idx="170">
                        <c:v>0.18350738517013307</c:v>
                      </c:pt>
                      <c:pt idx="171">
                        <c:v>0.18340320600035559</c:v>
                      </c:pt>
                      <c:pt idx="172">
                        <c:v>0.17996617673678364</c:v>
                      </c:pt>
                      <c:pt idx="173">
                        <c:v>0.17879739146904963</c:v>
                      </c:pt>
                      <c:pt idx="174">
                        <c:v>0.17354465280464504</c:v>
                      </c:pt>
                      <c:pt idx="175">
                        <c:v>0.14982455976835146</c:v>
                      </c:pt>
                      <c:pt idx="176">
                        <c:v>0.14690964692033781</c:v>
                      </c:pt>
                      <c:pt idx="177">
                        <c:v>0.1393891152368622</c:v>
                      </c:pt>
                      <c:pt idx="178">
                        <c:v>0.1288325025163049</c:v>
                      </c:pt>
                      <c:pt idx="179">
                        <c:v>0.12771961658231321</c:v>
                      </c:pt>
                      <c:pt idx="180">
                        <c:v>0.12722469658956645</c:v>
                      </c:pt>
                      <c:pt idx="181">
                        <c:v>0.12583785630866212</c:v>
                      </c:pt>
                      <c:pt idx="182">
                        <c:v>0.11891879198718945</c:v>
                      </c:pt>
                      <c:pt idx="183">
                        <c:v>0.11753127153899494</c:v>
                      </c:pt>
                      <c:pt idx="184">
                        <c:v>0.11396907609854989</c:v>
                      </c:pt>
                      <c:pt idx="185">
                        <c:v>0.10032461038004654</c:v>
                      </c:pt>
                      <c:pt idx="186">
                        <c:v>8.0867038556654225E-2</c:v>
                      </c:pt>
                      <c:pt idx="187">
                        <c:v>6.8887494786446207E-2</c:v>
                      </c:pt>
                      <c:pt idx="188">
                        <c:v>6.8647656972222248E-2</c:v>
                      </c:pt>
                      <c:pt idx="189">
                        <c:v>6.4463770862234121E-2</c:v>
                      </c:pt>
                      <c:pt idx="190">
                        <c:v>6.2078003272887761E-2</c:v>
                      </c:pt>
                      <c:pt idx="191">
                        <c:v>5.5429181700434565E-2</c:v>
                      </c:pt>
                      <c:pt idx="192">
                        <c:v>5.0116480961696061E-2</c:v>
                      </c:pt>
                      <c:pt idx="193">
                        <c:v>4.1392778029375382E-2</c:v>
                      </c:pt>
                      <c:pt idx="194">
                        <c:v>3.221996979467185E-2</c:v>
                      </c:pt>
                      <c:pt idx="195">
                        <c:v>2.9865981210400263E-2</c:v>
                      </c:pt>
                      <c:pt idx="196">
                        <c:v>2.9466640084987051E-2</c:v>
                      </c:pt>
                      <c:pt idx="197">
                        <c:v>2.57740961018703E-2</c:v>
                      </c:pt>
                      <c:pt idx="198">
                        <c:v>2.2625976142372443E-2</c:v>
                      </c:pt>
                      <c:pt idx="199">
                        <c:v>1.3897619155452526E-2</c:v>
                      </c:pt>
                      <c:pt idx="200">
                        <c:v>1.3885803767206264E-2</c:v>
                      </c:pt>
                      <c:pt idx="201">
                        <c:v>1.3606629312696163E-2</c:v>
                      </c:pt>
                      <c:pt idx="202">
                        <c:v>1.3434620029888945E-2</c:v>
                      </c:pt>
                      <c:pt idx="203">
                        <c:v>1.2957070693865202E-2</c:v>
                      </c:pt>
                      <c:pt idx="204">
                        <c:v>9.5269550324614712E-3</c:v>
                      </c:pt>
                      <c:pt idx="205">
                        <c:v>8.9251044944105556E-3</c:v>
                      </c:pt>
                      <c:pt idx="206">
                        <c:v>7.9336700496310079E-3</c:v>
                      </c:pt>
                      <c:pt idx="207">
                        <c:v>7.3556367680770547E-3</c:v>
                      </c:pt>
                      <c:pt idx="208">
                        <c:v>7.0520975971142723E-3</c:v>
                      </c:pt>
                      <c:pt idx="209">
                        <c:v>6.6692413173450602E-3</c:v>
                      </c:pt>
                      <c:pt idx="210">
                        <c:v>5.9724658382365008E-3</c:v>
                      </c:pt>
                      <c:pt idx="211">
                        <c:v>5.6615841886383869E-3</c:v>
                      </c:pt>
                      <c:pt idx="212">
                        <c:v>4.6058620253915435E-3</c:v>
                      </c:pt>
                      <c:pt idx="213">
                        <c:v>4.4341774957998353E-3</c:v>
                      </c:pt>
                      <c:pt idx="214">
                        <c:v>4.2768259051060966E-3</c:v>
                      </c:pt>
                      <c:pt idx="215">
                        <c:v>2.7980918357509823E-3</c:v>
                      </c:pt>
                      <c:pt idx="216">
                        <c:v>2.2808824670006974E-3</c:v>
                      </c:pt>
                      <c:pt idx="217">
                        <c:v>2.165975617854679E-3</c:v>
                      </c:pt>
                      <c:pt idx="218">
                        <c:v>1.9638877405372211E-3</c:v>
                      </c:pt>
                      <c:pt idx="219">
                        <c:v>1.8731209291016388E-3</c:v>
                      </c:pt>
                      <c:pt idx="220">
                        <c:v>1.8596518418605805E-3</c:v>
                      </c:pt>
                      <c:pt idx="221">
                        <c:v>1.6573419992222443E-3</c:v>
                      </c:pt>
                      <c:pt idx="222">
                        <c:v>1.6379548366217641E-3</c:v>
                      </c:pt>
                      <c:pt idx="223">
                        <c:v>1.5971723086973266E-3</c:v>
                      </c:pt>
                      <c:pt idx="224">
                        <c:v>1.583347360934293E-3</c:v>
                      </c:pt>
                      <c:pt idx="225">
                        <c:v>1.5704204293320795E-3</c:v>
                      </c:pt>
                      <c:pt idx="226">
                        <c:v>1.5385704812598757E-3</c:v>
                      </c:pt>
                      <c:pt idx="227">
                        <c:v>1.3429736909223232E-3</c:v>
                      </c:pt>
                      <c:pt idx="228">
                        <c:v>1.3346855943580111E-3</c:v>
                      </c:pt>
                      <c:pt idx="229">
                        <c:v>1.2219898588985193E-3</c:v>
                      </c:pt>
                      <c:pt idx="230">
                        <c:v>1.0749466603837304E-3</c:v>
                      </c:pt>
                      <c:pt idx="231">
                        <c:v>1.0737259865873962E-3</c:v>
                      </c:pt>
                      <c:pt idx="232">
                        <c:v>1.0463848795626654E-3</c:v>
                      </c:pt>
                      <c:pt idx="233">
                        <c:v>9.6218089296871111E-4</c:v>
                      </c:pt>
                      <c:pt idx="234">
                        <c:v>7.5265822008917455E-4</c:v>
                      </c:pt>
                      <c:pt idx="235">
                        <c:v>6.7545395879124324E-4</c:v>
                      </c:pt>
                      <c:pt idx="236">
                        <c:v>6.3516093706312649E-4</c:v>
                      </c:pt>
                      <c:pt idx="237">
                        <c:v>5.5329990941250704E-4</c:v>
                      </c:pt>
                      <c:pt idx="238">
                        <c:v>5.4167366138534059E-4</c:v>
                      </c:pt>
                      <c:pt idx="239">
                        <c:v>5.2461596952213042E-4</c:v>
                      </c:pt>
                      <c:pt idx="240">
                        <c:v>2.9752802948222463E-4</c:v>
                      </c:pt>
                      <c:pt idx="241">
                        <c:v>5.8686612960328531E-5</c:v>
                      </c:pt>
                      <c:pt idx="242">
                        <c:v>4.3023567589706326E-5</c:v>
                      </c:pt>
                      <c:pt idx="243">
                        <c:v>2.5020369391281192E-5</c:v>
                      </c:pt>
                      <c:pt idx="244">
                        <c:v>1.968030663508044E-5</c:v>
                      </c:pt>
                      <c:pt idx="245">
                        <c:v>1.5901891156796949E-5</c:v>
                      </c:pt>
                      <c:pt idx="246">
                        <c:v>1.1360059179716935E-5</c:v>
                      </c:pt>
                      <c:pt idx="247">
                        <c:v>8.1544477296301366E-6</c:v>
                      </c:pt>
                      <c:pt idx="248">
                        <c:v>6.7230805167503239E-6</c:v>
                      </c:pt>
                      <c:pt idx="249">
                        <c:v>1.6885249726499785E-6</c:v>
                      </c:pt>
                      <c:pt idx="250">
                        <c:v>3.1384550487223124E-7</c:v>
                      </c:pt>
                      <c:pt idx="251">
                        <c:v>1.7110983638278675E-7</c:v>
                      </c:pt>
                      <c:pt idx="252">
                        <c:v>9.1052383292171746E-8</c:v>
                      </c:pt>
                      <c:pt idx="253">
                        <c:v>6.3690995861969771E-8</c:v>
                      </c:pt>
                      <c:pt idx="254">
                        <c:v>3.8679247820288485E-8</c:v>
                      </c:pt>
                      <c:pt idx="255">
                        <c:v>2.1853579695764685E-8</c:v>
                      </c:pt>
                      <c:pt idx="256">
                        <c:v>2.2144649599872489E-10</c:v>
                      </c:pt>
                      <c:pt idx="257">
                        <c:v>2.0934636221941122E-10</c:v>
                      </c:pt>
                      <c:pt idx="258">
                        <c:v>9.5757989526288142E-11</c:v>
                      </c:pt>
                      <c:pt idx="259">
                        <c:v>1.0068545765302466E-8</c:v>
                      </c:pt>
                      <c:pt idx="260">
                        <c:v>1.0542591076428411E-6</c:v>
                      </c:pt>
                      <c:pt idx="261">
                        <c:v>4.879738734227653E-6</c:v>
                      </c:pt>
                      <c:pt idx="262">
                        <c:v>1.2817124476249211E-5</c:v>
                      </c:pt>
                      <c:pt idx="263">
                        <c:v>2.3491917965778971E-5</c:v>
                      </c:pt>
                      <c:pt idx="264">
                        <c:v>3.54101028605998E-5</c:v>
                      </c:pt>
                      <c:pt idx="265">
                        <c:v>4.6707384220534761E-5</c:v>
                      </c:pt>
                      <c:pt idx="266">
                        <c:v>6.2878946137061021E-5</c:v>
                      </c:pt>
                      <c:pt idx="267">
                        <c:v>7.7068940737262505E-5</c:v>
                      </c:pt>
                      <c:pt idx="268">
                        <c:v>1.0597932385922857E-4</c:v>
                      </c:pt>
                      <c:pt idx="269">
                        <c:v>1.4357184870458079E-4</c:v>
                      </c:pt>
                      <c:pt idx="270">
                        <c:v>1.4581309469426302E-4</c:v>
                      </c:pt>
                      <c:pt idx="271">
                        <c:v>1.8177403143026234E-4</c:v>
                      </c:pt>
                      <c:pt idx="272">
                        <c:v>3.00532810497827E-4</c:v>
                      </c:pt>
                      <c:pt idx="273">
                        <c:v>5.5983833762957545E-4</c:v>
                      </c:pt>
                      <c:pt idx="274">
                        <c:v>6.8017848313542525E-4</c:v>
                      </c:pt>
                      <c:pt idx="275">
                        <c:v>8.5755894487324368E-4</c:v>
                      </c:pt>
                      <c:pt idx="276">
                        <c:v>9.6598995694834229E-4</c:v>
                      </c:pt>
                      <c:pt idx="277">
                        <c:v>1.138637651370462E-3</c:v>
                      </c:pt>
                      <c:pt idx="278">
                        <c:v>1.2670964941828365E-3</c:v>
                      </c:pt>
                      <c:pt idx="279">
                        <c:v>1.5742307856912998E-3</c:v>
                      </c:pt>
                      <c:pt idx="280">
                        <c:v>1.6221639707421401E-3</c:v>
                      </c:pt>
                      <c:pt idx="281">
                        <c:v>1.6937312574578597E-3</c:v>
                      </c:pt>
                      <c:pt idx="282">
                        <c:v>1.8512580986798249E-3</c:v>
                      </c:pt>
                      <c:pt idx="283">
                        <c:v>1.8628964375441712E-3</c:v>
                      </c:pt>
                      <c:pt idx="284">
                        <c:v>1.8909420657073075E-3</c:v>
                      </c:pt>
                      <c:pt idx="285">
                        <c:v>2.910752151886139E-3</c:v>
                      </c:pt>
                      <c:pt idx="286">
                        <c:v>2.9980414774548473E-3</c:v>
                      </c:pt>
                      <c:pt idx="287">
                        <c:v>3.5937421134196478E-3</c:v>
                      </c:pt>
                      <c:pt idx="288">
                        <c:v>3.6958097415231016E-3</c:v>
                      </c:pt>
                      <c:pt idx="289">
                        <c:v>4.1705384141864288E-3</c:v>
                      </c:pt>
                      <c:pt idx="290">
                        <c:v>5.391324806818542E-3</c:v>
                      </c:pt>
                      <c:pt idx="291">
                        <c:v>5.3951139496631745E-3</c:v>
                      </c:pt>
                      <c:pt idx="292">
                        <c:v>5.5084895833562506E-3</c:v>
                      </c:pt>
                      <c:pt idx="293">
                        <c:v>7.1417922068241768E-3</c:v>
                      </c:pt>
                      <c:pt idx="294">
                        <c:v>7.6700144580288598E-3</c:v>
                      </c:pt>
                      <c:pt idx="295">
                        <c:v>9.1126879200224969E-3</c:v>
                      </c:pt>
                      <c:pt idx="296">
                        <c:v>9.1787640350972435E-3</c:v>
                      </c:pt>
                      <c:pt idx="297">
                        <c:v>9.6282976550850514E-3</c:v>
                      </c:pt>
                      <c:pt idx="298">
                        <c:v>1.024555431384238E-2</c:v>
                      </c:pt>
                      <c:pt idx="299">
                        <c:v>1.1485744746294531E-2</c:v>
                      </c:pt>
                      <c:pt idx="300">
                        <c:v>1.175240180740451E-2</c:v>
                      </c:pt>
                      <c:pt idx="301">
                        <c:v>1.1866977740040313E-2</c:v>
                      </c:pt>
                      <c:pt idx="302">
                        <c:v>1.5042226040881925E-2</c:v>
                      </c:pt>
                      <c:pt idx="303">
                        <c:v>1.601186143290571E-2</c:v>
                      </c:pt>
                      <c:pt idx="304">
                        <c:v>1.7527627420742976E-2</c:v>
                      </c:pt>
                      <c:pt idx="305">
                        <c:v>1.8166240297397964E-2</c:v>
                      </c:pt>
                      <c:pt idx="306">
                        <c:v>1.8606324411674018E-2</c:v>
                      </c:pt>
                      <c:pt idx="307">
                        <c:v>1.9103633745459338E-2</c:v>
                      </c:pt>
                      <c:pt idx="308">
                        <c:v>1.9493380411136858E-2</c:v>
                      </c:pt>
                      <c:pt idx="309">
                        <c:v>2.3189025193266814E-2</c:v>
                      </c:pt>
                      <c:pt idx="310">
                        <c:v>2.4629134850860202E-2</c:v>
                      </c:pt>
                      <c:pt idx="311">
                        <c:v>2.5369923877207476E-2</c:v>
                      </c:pt>
                      <c:pt idx="312">
                        <c:v>2.763851707463183E-2</c:v>
                      </c:pt>
                      <c:pt idx="313">
                        <c:v>3.0525505354547979E-2</c:v>
                      </c:pt>
                      <c:pt idx="314">
                        <c:v>3.8353363897769624E-2</c:v>
                      </c:pt>
                      <c:pt idx="315">
                        <c:v>4.3459004803264152E-2</c:v>
                      </c:pt>
                      <c:pt idx="316">
                        <c:v>4.6222777824150935E-2</c:v>
                      </c:pt>
                      <c:pt idx="317">
                        <c:v>4.7416191234379478E-2</c:v>
                      </c:pt>
                      <c:pt idx="318">
                        <c:v>4.8801769537500261E-2</c:v>
                      </c:pt>
                      <c:pt idx="319">
                        <c:v>5.1921956094340048E-2</c:v>
                      </c:pt>
                      <c:pt idx="320">
                        <c:v>5.5896310463557142E-2</c:v>
                      </c:pt>
                      <c:pt idx="321">
                        <c:v>5.7347588391633078E-2</c:v>
                      </c:pt>
                      <c:pt idx="322">
                        <c:v>5.8404623609877603E-2</c:v>
                      </c:pt>
                      <c:pt idx="323">
                        <c:v>5.8742324696654843E-2</c:v>
                      </c:pt>
                      <c:pt idx="324">
                        <c:v>6.2215635948586284E-2</c:v>
                      </c:pt>
                      <c:pt idx="325">
                        <c:v>6.288557217734829E-2</c:v>
                      </c:pt>
                      <c:pt idx="326">
                        <c:v>6.3341255700898311E-2</c:v>
                      </c:pt>
                      <c:pt idx="327">
                        <c:v>6.6145578460108753E-2</c:v>
                      </c:pt>
                      <c:pt idx="328">
                        <c:v>7.1904862688464369E-2</c:v>
                      </c:pt>
                      <c:pt idx="329">
                        <c:v>7.7804251260833138E-2</c:v>
                      </c:pt>
                      <c:pt idx="330">
                        <c:v>7.8475778712352853E-2</c:v>
                      </c:pt>
                      <c:pt idx="331">
                        <c:v>7.8563918817391373E-2</c:v>
                      </c:pt>
                      <c:pt idx="332">
                        <c:v>7.9090394549647822E-2</c:v>
                      </c:pt>
                      <c:pt idx="333">
                        <c:v>8.394212305007237E-2</c:v>
                      </c:pt>
                      <c:pt idx="334">
                        <c:v>8.534236315508277E-2</c:v>
                      </c:pt>
                      <c:pt idx="335">
                        <c:v>8.6219522103711518E-2</c:v>
                      </c:pt>
                      <c:pt idx="336">
                        <c:v>9.1401568108438747E-2</c:v>
                      </c:pt>
                      <c:pt idx="337">
                        <c:v>9.7312938738952692E-2</c:v>
                      </c:pt>
                      <c:pt idx="338">
                        <c:v>0.10146916810567756</c:v>
                      </c:pt>
                      <c:pt idx="339">
                        <c:v>0.11015979192237646</c:v>
                      </c:pt>
                      <c:pt idx="340">
                        <c:v>0.11671262045861884</c:v>
                      </c:pt>
                      <c:pt idx="341">
                        <c:v>0.12458814485943243</c:v>
                      </c:pt>
                      <c:pt idx="342">
                        <c:v>0.1261288237243835</c:v>
                      </c:pt>
                      <c:pt idx="343">
                        <c:v>0.12905171888656225</c:v>
                      </c:pt>
                      <c:pt idx="344">
                        <c:v>0.13431720395754818</c:v>
                      </c:pt>
                      <c:pt idx="345">
                        <c:v>0.14219592814145582</c:v>
                      </c:pt>
                      <c:pt idx="346">
                        <c:v>0.15283791109021874</c:v>
                      </c:pt>
                      <c:pt idx="347">
                        <c:v>0.15773496527843306</c:v>
                      </c:pt>
                      <c:pt idx="348">
                        <c:v>0.1629240733634445</c:v>
                      </c:pt>
                      <c:pt idx="349">
                        <c:v>0.16710574537954789</c:v>
                      </c:pt>
                      <c:pt idx="350">
                        <c:v>0.17443205159568817</c:v>
                      </c:pt>
                      <c:pt idx="351">
                        <c:v>0.17969298562135827</c:v>
                      </c:pt>
                      <c:pt idx="352">
                        <c:v>0.18115253377957838</c:v>
                      </c:pt>
                      <c:pt idx="353">
                        <c:v>0.1814342022182564</c:v>
                      </c:pt>
                      <c:pt idx="354">
                        <c:v>0.18181135499728729</c:v>
                      </c:pt>
                      <c:pt idx="355">
                        <c:v>0.18231183910179274</c:v>
                      </c:pt>
                      <c:pt idx="356">
                        <c:v>0.18275644401684782</c:v>
                      </c:pt>
                      <c:pt idx="357">
                        <c:v>0.18807420779082648</c:v>
                      </c:pt>
                      <c:pt idx="358">
                        <c:v>0.18861025373033521</c:v>
                      </c:pt>
                      <c:pt idx="359">
                        <c:v>0.19607961525577686</c:v>
                      </c:pt>
                      <c:pt idx="360">
                        <c:v>0.19657675676950054</c:v>
                      </c:pt>
                      <c:pt idx="361">
                        <c:v>0.1992451899916351</c:v>
                      </c:pt>
                      <c:pt idx="362">
                        <c:v>0.20211313542147477</c:v>
                      </c:pt>
                      <c:pt idx="363">
                        <c:v>0.20257531545745658</c:v>
                      </c:pt>
                      <c:pt idx="364">
                        <c:v>0.20423006953200518</c:v>
                      </c:pt>
                      <c:pt idx="365">
                        <c:v>0.20666795743917041</c:v>
                      </c:pt>
                      <c:pt idx="366">
                        <c:v>0.20811728516525868</c:v>
                      </c:pt>
                      <c:pt idx="367">
                        <c:v>0.2124223864008534</c:v>
                      </c:pt>
                      <c:pt idx="368">
                        <c:v>0.21316756236603432</c:v>
                      </c:pt>
                      <c:pt idx="369">
                        <c:v>0.21362320311347724</c:v>
                      </c:pt>
                      <c:pt idx="370">
                        <c:v>0.2197763365941999</c:v>
                      </c:pt>
                      <c:pt idx="371">
                        <c:v>0.22426199297661711</c:v>
                      </c:pt>
                      <c:pt idx="372">
                        <c:v>0.23024889114172187</c:v>
                      </c:pt>
                      <c:pt idx="373">
                        <c:v>0.23062849288065629</c:v>
                      </c:pt>
                      <c:pt idx="374">
                        <c:v>0.2431180113306278</c:v>
                      </c:pt>
                      <c:pt idx="375">
                        <c:v>0.24438157092733573</c:v>
                      </c:pt>
                      <c:pt idx="376">
                        <c:v>0.25734284344510994</c:v>
                      </c:pt>
                      <c:pt idx="377">
                        <c:v>0.25742995312812866</c:v>
                      </c:pt>
                      <c:pt idx="378">
                        <c:v>0.27070634308566166</c:v>
                      </c:pt>
                      <c:pt idx="379">
                        <c:v>0.2751774219913572</c:v>
                      </c:pt>
                      <c:pt idx="380">
                        <c:v>0.28209946724269508</c:v>
                      </c:pt>
                      <c:pt idx="381">
                        <c:v>0.28340413427256034</c:v>
                      </c:pt>
                      <c:pt idx="382">
                        <c:v>0.29258342716580199</c:v>
                      </c:pt>
                      <c:pt idx="383">
                        <c:v>0.29531933888129225</c:v>
                      </c:pt>
                      <c:pt idx="384">
                        <c:v>0.30252260325740998</c:v>
                      </c:pt>
                      <c:pt idx="385">
                        <c:v>0.30402512626541767</c:v>
                      </c:pt>
                      <c:pt idx="386">
                        <c:v>0.31216375725341194</c:v>
                      </c:pt>
                      <c:pt idx="387">
                        <c:v>0.31734400772678611</c:v>
                      </c:pt>
                      <c:pt idx="388">
                        <c:v>0.32118255519478012</c:v>
                      </c:pt>
                      <c:pt idx="389">
                        <c:v>0.32242076280835985</c:v>
                      </c:pt>
                      <c:pt idx="390">
                        <c:v>0.33405008419393722</c:v>
                      </c:pt>
                      <c:pt idx="391">
                        <c:v>0.34604932369038416</c:v>
                      </c:pt>
                      <c:pt idx="392">
                        <c:v>0.35008932160997985</c:v>
                      </c:pt>
                      <c:pt idx="393">
                        <c:v>0.35031194957687928</c:v>
                      </c:pt>
                      <c:pt idx="394">
                        <c:v>0.35431930981986004</c:v>
                      </c:pt>
                      <c:pt idx="395">
                        <c:v>0.36518122703429023</c:v>
                      </c:pt>
                      <c:pt idx="396">
                        <c:v>0.36938757509551096</c:v>
                      </c:pt>
                      <c:pt idx="397">
                        <c:v>0.37106055903611362</c:v>
                      </c:pt>
                      <c:pt idx="398">
                        <c:v>0.3822719178813474</c:v>
                      </c:pt>
                      <c:pt idx="399">
                        <c:v>0.38661766977804307</c:v>
                      </c:pt>
                      <c:pt idx="400">
                        <c:v>0.40183954870278649</c:v>
                      </c:pt>
                      <c:pt idx="401">
                        <c:v>0.40330579531560079</c:v>
                      </c:pt>
                      <c:pt idx="402">
                        <c:v>0.40645797123447852</c:v>
                      </c:pt>
                      <c:pt idx="403">
                        <c:v>0.40706274049991414</c:v>
                      </c:pt>
                      <c:pt idx="404">
                        <c:v>0.41115236695405216</c:v>
                      </c:pt>
                      <c:pt idx="405">
                        <c:v>0.41132754173856823</c:v>
                      </c:pt>
                      <c:pt idx="406">
                        <c:v>0.41379229855987026</c:v>
                      </c:pt>
                      <c:pt idx="407">
                        <c:v>0.41753739181261645</c:v>
                      </c:pt>
                      <c:pt idx="408">
                        <c:v>0.41974028662419544</c:v>
                      </c:pt>
                      <c:pt idx="409">
                        <c:v>0.41999403431894772</c:v>
                      </c:pt>
                      <c:pt idx="410">
                        <c:v>0.42984555419677356</c:v>
                      </c:pt>
                      <c:pt idx="411">
                        <c:v>0.43012575430061545</c:v>
                      </c:pt>
                      <c:pt idx="412">
                        <c:v>0.43575089634920278</c:v>
                      </c:pt>
                      <c:pt idx="413">
                        <c:v>0.45343630033242616</c:v>
                      </c:pt>
                      <c:pt idx="414">
                        <c:v>0.45388638750580468</c:v>
                      </c:pt>
                      <c:pt idx="415">
                        <c:v>0.45521086299195207</c:v>
                      </c:pt>
                      <c:pt idx="416">
                        <c:v>0.4626783177054386</c:v>
                      </c:pt>
                      <c:pt idx="417">
                        <c:v>0.46524639109521604</c:v>
                      </c:pt>
                      <c:pt idx="418">
                        <c:v>0.46760593213191076</c:v>
                      </c:pt>
                      <c:pt idx="419">
                        <c:v>0.46774101201829776</c:v>
                      </c:pt>
                      <c:pt idx="420">
                        <c:v>0.46907235774922967</c:v>
                      </c:pt>
                      <c:pt idx="421">
                        <c:v>0.46944481210902711</c:v>
                      </c:pt>
                      <c:pt idx="422">
                        <c:v>0.46910432360633575</c:v>
                      </c:pt>
                      <c:pt idx="423">
                        <c:v>0.46833552059492806</c:v>
                      </c:pt>
                      <c:pt idx="424">
                        <c:v>0.46814782707348662</c:v>
                      </c:pt>
                      <c:pt idx="425">
                        <c:v>0.46784934043659288</c:v>
                      </c:pt>
                      <c:pt idx="426">
                        <c:v>0.46348466299226554</c:v>
                      </c:pt>
                      <c:pt idx="427">
                        <c:v>0.4631647484605248</c:v>
                      </c:pt>
                      <c:pt idx="428">
                        <c:v>0.46129119265362928</c:v>
                      </c:pt>
                      <c:pt idx="429">
                        <c:v>0.46024788433950325</c:v>
                      </c:pt>
                      <c:pt idx="430">
                        <c:v>0.45910501779536972</c:v>
                      </c:pt>
                      <c:pt idx="431">
                        <c:v>0.45873053890347093</c:v>
                      </c:pt>
                      <c:pt idx="432">
                        <c:v>0.45730984317404733</c:v>
                      </c:pt>
                      <c:pt idx="433">
                        <c:v>0.45496241241345919</c:v>
                      </c:pt>
                      <c:pt idx="434">
                        <c:v>0.44916366407829966</c:v>
                      </c:pt>
                      <c:pt idx="435">
                        <c:v>0.44600078958890438</c:v>
                      </c:pt>
                      <c:pt idx="436">
                        <c:v>0.44511244731903205</c:v>
                      </c:pt>
                      <c:pt idx="437">
                        <c:v>0.44140359444644778</c:v>
                      </c:pt>
                      <c:pt idx="438">
                        <c:v>0.42670823721514406</c:v>
                      </c:pt>
                      <c:pt idx="439">
                        <c:v>0.42368647496330836</c:v>
                      </c:pt>
                      <c:pt idx="440">
                        <c:v>0.41944377543121986</c:v>
                      </c:pt>
                      <c:pt idx="441">
                        <c:v>0.41930166377599282</c:v>
                      </c:pt>
                      <c:pt idx="442">
                        <c:v>0.41368737854352439</c:v>
                      </c:pt>
                      <c:pt idx="443">
                        <c:v>0.41088215390503185</c:v>
                      </c:pt>
                      <c:pt idx="444">
                        <c:v>0.40830145449155331</c:v>
                      </c:pt>
                      <c:pt idx="445">
                        <c:v>0.40134919335419444</c:v>
                      </c:pt>
                      <c:pt idx="446">
                        <c:v>0.396676408642472</c:v>
                      </c:pt>
                      <c:pt idx="447">
                        <c:v>0.38022221530742201</c:v>
                      </c:pt>
                      <c:pt idx="448">
                        <c:v>0.37756736902608684</c:v>
                      </c:pt>
                      <c:pt idx="449">
                        <c:v>0.35502953828708894</c:v>
                      </c:pt>
                      <c:pt idx="450">
                        <c:v>0.35466772221226689</c:v>
                      </c:pt>
                      <c:pt idx="451">
                        <c:v>0.34634522472280987</c:v>
                      </c:pt>
                      <c:pt idx="452">
                        <c:v>0.34563227389150114</c:v>
                      </c:pt>
                      <c:pt idx="453">
                        <c:v>0.34369554279818476</c:v>
                      </c:pt>
                      <c:pt idx="454">
                        <c:v>0.33531488748540722</c:v>
                      </c:pt>
                      <c:pt idx="455">
                        <c:v>0.33519663046877279</c:v>
                      </c:pt>
                      <c:pt idx="456">
                        <c:v>0.32104197380479954</c:v>
                      </c:pt>
                      <c:pt idx="457">
                        <c:v>0.31747269852188476</c:v>
                      </c:pt>
                      <c:pt idx="458">
                        <c:v>0.31215973894858395</c:v>
                      </c:pt>
                      <c:pt idx="459">
                        <c:v>0.31137640517053278</c:v>
                      </c:pt>
                      <c:pt idx="460">
                        <c:v>0.31011137233770247</c:v>
                      </c:pt>
                      <c:pt idx="461">
                        <c:v>0.25778597790700097</c:v>
                      </c:pt>
                      <c:pt idx="462">
                        <c:v>0.23821105206460291</c:v>
                      </c:pt>
                      <c:pt idx="463">
                        <c:v>0.2311056504815778</c:v>
                      </c:pt>
                      <c:pt idx="464">
                        <c:v>0.22353268643175711</c:v>
                      </c:pt>
                      <c:pt idx="465">
                        <c:v>0.22082288151959101</c:v>
                      </c:pt>
                      <c:pt idx="466">
                        <c:v>0.21875963399942339</c:v>
                      </c:pt>
                      <c:pt idx="467">
                        <c:v>0.21113831525127574</c:v>
                      </c:pt>
                      <c:pt idx="468">
                        <c:v>0.2084019401964339</c:v>
                      </c:pt>
                      <c:pt idx="469">
                        <c:v>0.19532926708989864</c:v>
                      </c:pt>
                      <c:pt idx="470">
                        <c:v>0.19521038646798206</c:v>
                      </c:pt>
                      <c:pt idx="471">
                        <c:v>0.19001498515363138</c:v>
                      </c:pt>
                      <c:pt idx="472">
                        <c:v>0.18676589699402082</c:v>
                      </c:pt>
                      <c:pt idx="473">
                        <c:v>0.18673834682910828</c:v>
                      </c:pt>
                      <c:pt idx="474">
                        <c:v>0.18262918056525312</c:v>
                      </c:pt>
                      <c:pt idx="475">
                        <c:v>0.17271092009381833</c:v>
                      </c:pt>
                      <c:pt idx="476">
                        <c:v>0.16807747901446793</c:v>
                      </c:pt>
                      <c:pt idx="477">
                        <c:v>0.15911188681570079</c:v>
                      </c:pt>
                      <c:pt idx="478">
                        <c:v>0.15653573574285798</c:v>
                      </c:pt>
                      <c:pt idx="479">
                        <c:v>0.14787116524930297</c:v>
                      </c:pt>
                      <c:pt idx="480">
                        <c:v>0.14102613793468211</c:v>
                      </c:pt>
                      <c:pt idx="481">
                        <c:v>0.13553843234520241</c:v>
                      </c:pt>
                      <c:pt idx="482">
                        <c:v>0.12957301755659448</c:v>
                      </c:pt>
                      <c:pt idx="483">
                        <c:v>0.12832792229305029</c:v>
                      </c:pt>
                      <c:pt idx="484">
                        <c:v>0.12659714790672308</c:v>
                      </c:pt>
                      <c:pt idx="485">
                        <c:v>0.12460662401595374</c:v>
                      </c:pt>
                      <c:pt idx="486">
                        <c:v>0.12283214442945556</c:v>
                      </c:pt>
                      <c:pt idx="487">
                        <c:v>0.12190406256014599</c:v>
                      </c:pt>
                      <c:pt idx="488">
                        <c:v>0.11816097340045843</c:v>
                      </c:pt>
                      <c:pt idx="489">
                        <c:v>9.3529249039349574E-2</c:v>
                      </c:pt>
                      <c:pt idx="490">
                        <c:v>8.1438165015153219E-2</c:v>
                      </c:pt>
                      <c:pt idx="491">
                        <c:v>7.7322420586408008E-2</c:v>
                      </c:pt>
                      <c:pt idx="492">
                        <c:v>7.2407764535007649E-2</c:v>
                      </c:pt>
                      <c:pt idx="493">
                        <c:v>5.6883752304660182E-2</c:v>
                      </c:pt>
                      <c:pt idx="494">
                        <c:v>4.604822900562934E-2</c:v>
                      </c:pt>
                      <c:pt idx="495">
                        <c:v>2.230977767828363E-2</c:v>
                      </c:pt>
                      <c:pt idx="496">
                        <c:v>1.2366880801888511E-2</c:v>
                      </c:pt>
                      <c:pt idx="497">
                        <c:v>5.9378000901533414E-3</c:v>
                      </c:pt>
                      <c:pt idx="498">
                        <c:v>2.4877043742445532E-3</c:v>
                      </c:pt>
                      <c:pt idx="499">
                        <c:v>8.8564628011388881E-4</c:v>
                      </c:pt>
                      <c:pt idx="500">
                        <c:v>8.1334152849756361E-4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47-4C53-B095-3C309E6E503D}"/>
                  </c:ext>
                </c:extLst>
              </c15:ser>
            </c15:filteredScatterSeries>
          </c:ext>
        </c:extLst>
      </c:scatterChart>
      <c:valAx>
        <c:axId val="1490983039"/>
        <c:scaling>
          <c:orientation val="minMax"/>
          <c:max val="1"/>
          <c:min val="-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90990527"/>
        <c:crossesAt val="-0.5"/>
        <c:crossBetween val="midCat"/>
        <c:majorUnit val="0.5"/>
      </c:valAx>
      <c:valAx>
        <c:axId val="1490990527"/>
        <c:scaling>
          <c:orientation val="minMax"/>
          <c:min val="-0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90983039"/>
        <c:crossesAt val="-2.5"/>
        <c:crossBetween val="midCat"/>
      </c:valAx>
      <c:valAx>
        <c:axId val="1750517439"/>
        <c:scaling>
          <c:orientation val="minMax"/>
          <c:max val="2.5"/>
          <c:min val="-0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0501215"/>
        <c:crosses val="max"/>
        <c:crossBetween val="between"/>
      </c:valAx>
      <c:dateAx>
        <c:axId val="1750501215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50517439"/>
        <c:crosses val="max"/>
        <c:auto val="0"/>
        <c:lblOffset val="100"/>
        <c:baseTimeUnit val="days"/>
      </c:date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44882152255930319"/>
          <c:y val="0.16430561611592126"/>
          <c:w val="0.5055491387535781"/>
          <c:h val="0.23887368434420175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Comparison of</a:t>
            </a:r>
            <a:r>
              <a:rPr lang="en-US" sz="1200" baseline="0"/>
              <a:t> symmetric &amp; assymetric penalty functions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5603674540683"/>
          <c:y val="0.18356481481481479"/>
          <c:w val="0.80283573928258967"/>
          <c:h val="0.644220982793817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'test function'!$BC$8</c:f>
              <c:strCache>
                <c:ptCount val="1"/>
                <c:pt idx="0">
                  <c:v>Central (α=0.5, symmetric)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'test function'!$BB$9:$BB$29</c:f>
              <c:numCache>
                <c:formatCode>General</c:formatCode>
                <c:ptCount val="21"/>
                <c:pt idx="0">
                  <c:v>-0.2</c:v>
                </c:pt>
                <c:pt idx="1">
                  <c:v>-0.18000000000000002</c:v>
                </c:pt>
                <c:pt idx="2">
                  <c:v>-0.16000000000000003</c:v>
                </c:pt>
                <c:pt idx="3">
                  <c:v>-0.14000000000000004</c:v>
                </c:pt>
                <c:pt idx="4">
                  <c:v>-0.12000000000000004</c:v>
                </c:pt>
                <c:pt idx="5">
                  <c:v>-0.10000000000000003</c:v>
                </c:pt>
                <c:pt idx="6">
                  <c:v>-8.0000000000000029E-2</c:v>
                </c:pt>
                <c:pt idx="7">
                  <c:v>-6.0000000000000026E-2</c:v>
                </c:pt>
                <c:pt idx="8">
                  <c:v>-4.0000000000000022E-2</c:v>
                </c:pt>
                <c:pt idx="9">
                  <c:v>-2.0000000000000021E-2</c:v>
                </c:pt>
                <c:pt idx="10">
                  <c:v>0</c:v>
                </c:pt>
                <c:pt idx="11">
                  <c:v>0.02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0.1</c:v>
                </c:pt>
                <c:pt idx="16">
                  <c:v>0.12000000000000001</c:v>
                </c:pt>
                <c:pt idx="17">
                  <c:v>0.14000000000000001</c:v>
                </c:pt>
                <c:pt idx="18">
                  <c:v>0.16</c:v>
                </c:pt>
                <c:pt idx="19">
                  <c:v>0.18</c:v>
                </c:pt>
                <c:pt idx="20">
                  <c:v>0.19999999999999998</c:v>
                </c:pt>
              </c:numCache>
            </c:numRef>
          </c:xVal>
          <c:yVal>
            <c:numRef>
              <c:f>'test function'!$BC$9:$BC$29</c:f>
              <c:numCache>
                <c:formatCode>General</c:formatCode>
                <c:ptCount val="21"/>
                <c:pt idx="0">
                  <c:v>4.0000000000000008E-2</c:v>
                </c:pt>
                <c:pt idx="1">
                  <c:v>3.2400000000000005E-2</c:v>
                </c:pt>
                <c:pt idx="2">
                  <c:v>2.5600000000000012E-2</c:v>
                </c:pt>
                <c:pt idx="3">
                  <c:v>1.960000000000001E-2</c:v>
                </c:pt>
                <c:pt idx="4">
                  <c:v>1.4400000000000008E-2</c:v>
                </c:pt>
                <c:pt idx="5">
                  <c:v>1.0000000000000007E-2</c:v>
                </c:pt>
                <c:pt idx="6">
                  <c:v>6.4000000000000046E-3</c:v>
                </c:pt>
                <c:pt idx="7">
                  <c:v>3.6000000000000029E-3</c:v>
                </c:pt>
                <c:pt idx="8">
                  <c:v>1.6000000000000018E-3</c:v>
                </c:pt>
                <c:pt idx="9">
                  <c:v>4.0000000000000083E-4</c:v>
                </c:pt>
                <c:pt idx="10">
                  <c:v>0</c:v>
                </c:pt>
                <c:pt idx="11">
                  <c:v>4.0000000000000002E-4</c:v>
                </c:pt>
                <c:pt idx="12">
                  <c:v>1.6000000000000001E-3</c:v>
                </c:pt>
                <c:pt idx="13">
                  <c:v>3.5999999999999999E-3</c:v>
                </c:pt>
                <c:pt idx="14">
                  <c:v>6.4000000000000003E-3</c:v>
                </c:pt>
                <c:pt idx="15">
                  <c:v>1.0000000000000002E-2</c:v>
                </c:pt>
                <c:pt idx="16">
                  <c:v>1.4400000000000003E-2</c:v>
                </c:pt>
                <c:pt idx="17">
                  <c:v>1.9600000000000003E-2</c:v>
                </c:pt>
                <c:pt idx="18">
                  <c:v>2.5600000000000001E-2</c:v>
                </c:pt>
                <c:pt idx="19">
                  <c:v>3.2399999999999998E-2</c:v>
                </c:pt>
                <c:pt idx="20">
                  <c:v>3.9999999999999994E-2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2B-40FA-9757-B5B762B8AED7}"/>
            </c:ext>
          </c:extLst>
        </c:ser>
        <c:ser>
          <c:idx val="1"/>
          <c:order val="1"/>
          <c:tx>
            <c:strRef>
              <c:f>'test function'!$BD$8</c:f>
              <c:strCache>
                <c:ptCount val="1"/>
                <c:pt idx="0">
                  <c:v>High (α=0.1)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 function'!$BB$9:$BB$29</c:f>
              <c:numCache>
                <c:formatCode>General</c:formatCode>
                <c:ptCount val="21"/>
                <c:pt idx="0">
                  <c:v>-0.2</c:v>
                </c:pt>
                <c:pt idx="1">
                  <c:v>-0.18000000000000002</c:v>
                </c:pt>
                <c:pt idx="2">
                  <c:v>-0.16000000000000003</c:v>
                </c:pt>
                <c:pt idx="3">
                  <c:v>-0.14000000000000004</c:v>
                </c:pt>
                <c:pt idx="4">
                  <c:v>-0.12000000000000004</c:v>
                </c:pt>
                <c:pt idx="5">
                  <c:v>-0.10000000000000003</c:v>
                </c:pt>
                <c:pt idx="6">
                  <c:v>-8.0000000000000029E-2</c:v>
                </c:pt>
                <c:pt idx="7">
                  <c:v>-6.0000000000000026E-2</c:v>
                </c:pt>
                <c:pt idx="8">
                  <c:v>-4.0000000000000022E-2</c:v>
                </c:pt>
                <c:pt idx="9">
                  <c:v>-2.0000000000000021E-2</c:v>
                </c:pt>
                <c:pt idx="10">
                  <c:v>0</c:v>
                </c:pt>
                <c:pt idx="11">
                  <c:v>0.02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0.1</c:v>
                </c:pt>
                <c:pt idx="16">
                  <c:v>0.12000000000000001</c:v>
                </c:pt>
                <c:pt idx="17">
                  <c:v>0.14000000000000001</c:v>
                </c:pt>
                <c:pt idx="18">
                  <c:v>0.16</c:v>
                </c:pt>
                <c:pt idx="19">
                  <c:v>0.18</c:v>
                </c:pt>
                <c:pt idx="20">
                  <c:v>0.19999999999999998</c:v>
                </c:pt>
              </c:numCache>
            </c:numRef>
          </c:xVal>
          <c:yVal>
            <c:numRef>
              <c:f>'test function'!$BD$9:$BD$29</c:f>
              <c:numCache>
                <c:formatCode>General</c:formatCode>
                <c:ptCount val="21"/>
                <c:pt idx="0">
                  <c:v>8.0000000000000019E-3</c:v>
                </c:pt>
                <c:pt idx="1">
                  <c:v>6.4800000000000014E-3</c:v>
                </c:pt>
                <c:pt idx="2">
                  <c:v>5.120000000000003E-3</c:v>
                </c:pt>
                <c:pt idx="3">
                  <c:v>3.9200000000000025E-3</c:v>
                </c:pt>
                <c:pt idx="4">
                  <c:v>2.8800000000000019E-3</c:v>
                </c:pt>
                <c:pt idx="5">
                  <c:v>2.0000000000000013E-3</c:v>
                </c:pt>
                <c:pt idx="6">
                  <c:v>1.280000000000001E-3</c:v>
                </c:pt>
                <c:pt idx="7">
                  <c:v>7.2000000000000059E-4</c:v>
                </c:pt>
                <c:pt idx="8">
                  <c:v>3.2000000000000041E-4</c:v>
                </c:pt>
                <c:pt idx="9">
                  <c:v>8.0000000000000169E-5</c:v>
                </c:pt>
                <c:pt idx="10">
                  <c:v>0</c:v>
                </c:pt>
                <c:pt idx="11">
                  <c:v>7.2000000000000005E-4</c:v>
                </c:pt>
                <c:pt idx="12">
                  <c:v>2.8800000000000002E-3</c:v>
                </c:pt>
                <c:pt idx="13">
                  <c:v>6.4799999999999996E-3</c:v>
                </c:pt>
                <c:pt idx="14">
                  <c:v>1.1520000000000001E-2</c:v>
                </c:pt>
                <c:pt idx="15">
                  <c:v>1.8000000000000006E-2</c:v>
                </c:pt>
                <c:pt idx="16">
                  <c:v>2.5920000000000006E-2</c:v>
                </c:pt>
                <c:pt idx="17">
                  <c:v>3.5280000000000006E-2</c:v>
                </c:pt>
                <c:pt idx="18">
                  <c:v>4.6080000000000003E-2</c:v>
                </c:pt>
                <c:pt idx="19">
                  <c:v>5.8319999999999997E-2</c:v>
                </c:pt>
                <c:pt idx="20">
                  <c:v>7.1999999999999995E-2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2B-40FA-9757-B5B762B8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710015"/>
        <c:axId val="1746700863"/>
      </c:scatterChart>
      <c:valAx>
        <c:axId val="1746710015"/>
        <c:scaling>
          <c:orientation val="minMax"/>
          <c:max val="0.15000000000000002"/>
          <c:min val="-0.1500000000000000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00863"/>
        <c:crosses val="autoZero"/>
        <c:crossBetween val="midCat"/>
      </c:valAx>
      <c:valAx>
        <c:axId val="1746700863"/>
        <c:scaling>
          <c:orientation val="minMax"/>
          <c:max val="3.0000000000000006E-2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Penalty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710015"/>
        <c:crossesAt val="-0.2"/>
        <c:crossBetween val="midCat"/>
        <c:majorUnit val="1.0000000000000002E-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374304461942257"/>
          <c:y val="0.19039297171186936"/>
          <c:w val="0.48338301233212844"/>
          <c:h val="0.161458880139982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chart" Target="../charts/chart2.xml"/><Relationship Id="rId5" Type="http://schemas.openxmlformats.org/officeDocument/2006/relationships/image" Target="../media/image4.emf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4</xdr:row>
      <xdr:rowOff>161925</xdr:rowOff>
    </xdr:from>
    <xdr:to>
      <xdr:col>7</xdr:col>
      <xdr:colOff>428625</xdr:colOff>
      <xdr:row>7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923925"/>
          <a:ext cx="22764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247650</xdr:colOff>
      <xdr:row>8</xdr:row>
      <xdr:rowOff>142875</xdr:rowOff>
    </xdr:from>
    <xdr:to>
      <xdr:col>8</xdr:col>
      <xdr:colOff>9525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1666875"/>
          <a:ext cx="34194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545109</xdr:colOff>
      <xdr:row>29</xdr:row>
      <xdr:rowOff>110007</xdr:rowOff>
    </xdr:from>
    <xdr:to>
      <xdr:col>49</xdr:col>
      <xdr:colOff>306983</xdr:colOff>
      <xdr:row>48</xdr:row>
      <xdr:rowOff>62382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53170" y="5747252"/>
          <a:ext cx="4660446" cy="3645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588356</xdr:colOff>
      <xdr:row>8</xdr:row>
      <xdr:rowOff>64334</xdr:rowOff>
    </xdr:from>
    <xdr:to>
      <xdr:col>49</xdr:col>
      <xdr:colOff>369339</xdr:colOff>
      <xdr:row>28</xdr:row>
      <xdr:rowOff>116633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19439</xdr:colOff>
      <xdr:row>3</xdr:row>
      <xdr:rowOff>87476</xdr:rowOff>
    </xdr:from>
    <xdr:to>
      <xdr:col>44</xdr:col>
      <xdr:colOff>466530</xdr:colOff>
      <xdr:row>8</xdr:row>
      <xdr:rowOff>48598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 txBox="1"/>
          </xdr:nvSpPr>
          <xdr:spPr>
            <a:xfrm>
              <a:off x="28302857" y="670639"/>
              <a:ext cx="3508699" cy="93306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100" b="0" i="1">
                  <a:solidFill>
                    <a:srgbClr val="00B0F0"/>
                  </a:solidFill>
                  <a:latin typeface="Cambria Math" panose="02040503050406030204" pitchFamily="18" charset="0"/>
                </a:rPr>
                <a:t>Neural</a:t>
              </a:r>
              <a:r>
                <a:rPr lang="en-US" sz="1100" b="0" i="1" baseline="0">
                  <a:solidFill>
                    <a:srgbClr val="00B0F0"/>
                  </a:solidFill>
                  <a:latin typeface="Cambria Math" panose="02040503050406030204" pitchFamily="18" charset="0"/>
                </a:rPr>
                <a:t> Network Formula</a:t>
              </a:r>
              <a:endParaRPr lang="en-US" sz="1100" b="0" i="1">
                <a:solidFill>
                  <a:srgbClr val="00B0F0"/>
                </a:solidFill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func>
                      <m:func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tanh</m:t>
                        </m:r>
                      </m:fName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nary>
                              <m:naryPr>
                                <m:chr m:val="∑"/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=1</m:t>
                                </m:r>
                              </m:sub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sup>
                              <m:e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func>
                                  <m:func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n-US" sz="1100" b="0" i="0">
                                        <a:latin typeface="Cambria Math" panose="02040503050406030204" pitchFamily="18" charset="0"/>
                                      </a:rPr>
                                      <m:t>tanh</m:t>
                                    </m:r>
                                  </m:fName>
                                  <m:e>
                                    <m:d>
                                      <m:d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+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e>
                                          <m:sub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n-US" sz="1100" b="0" i="1">
                                                <a:latin typeface="Cambria Math" panose="02040503050406030204" pitchFamily="18" charset="0"/>
                                              </a:rPr>
                                              <m:t>1</m:t>
                                            </m:r>
                                          </m:sub>
                                        </m:s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</m:d>
                                  </m:e>
                                </m:func>
                              </m:e>
                            </m:nary>
                          </m:e>
                        </m:d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8302857" y="670639"/>
              <a:ext cx="3508699" cy="93306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100" b="0" i="1">
                  <a:solidFill>
                    <a:srgbClr val="00B0F0"/>
                  </a:solidFill>
                  <a:latin typeface="Cambria Math" panose="02040503050406030204" pitchFamily="18" charset="0"/>
                </a:rPr>
                <a:t>Neural</a:t>
              </a:r>
              <a:r>
                <a:rPr lang="en-US" sz="1100" b="0" i="1" baseline="0">
                  <a:solidFill>
                    <a:srgbClr val="00B0F0"/>
                  </a:solidFill>
                  <a:latin typeface="Cambria Math" panose="02040503050406030204" pitchFamily="18" charset="0"/>
                </a:rPr>
                <a:t> Network Formula</a:t>
              </a:r>
              <a:endParaRPr lang="en-US" sz="1100" b="0" i="1">
                <a:solidFill>
                  <a:srgbClr val="00B0F0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0" i="0">
                  <a:latin typeface="Cambria Math" panose="02040503050406030204" pitchFamily="18" charset="0"/>
                </a:rPr>
                <a:t>𝑦=𝑎_0+𝑎_1  tanh⁡(𝑏_0+∑24_(𝑖=1)^5▒〖𝑏_𝑖  tanh⁡(𝑏_𝑖0+𝑏_𝑖1 𝑥) 〗)</a:t>
              </a:r>
              <a:endParaRPr lang="en-US" sz="1100"/>
            </a:p>
          </xdr:txBody>
        </xdr:sp>
      </mc:Fallback>
    </mc:AlternateContent>
    <xdr:clientData/>
  </xdr:twoCellAnchor>
  <xdr:twoCellAnchor editAs="oneCell">
    <xdr:from>
      <xdr:col>36</xdr:col>
      <xdr:colOff>301300</xdr:colOff>
      <xdr:row>1</xdr:row>
      <xdr:rowOff>97194</xdr:rowOff>
    </xdr:from>
    <xdr:to>
      <xdr:col>40</xdr:col>
      <xdr:colOff>87279</xdr:colOff>
      <xdr:row>3</xdr:row>
      <xdr:rowOff>135294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90739" y="291582"/>
          <a:ext cx="2235265" cy="426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44</xdr:col>
      <xdr:colOff>320739</xdr:colOff>
      <xdr:row>2</xdr:row>
      <xdr:rowOff>68035</xdr:rowOff>
    </xdr:from>
    <xdr:to>
      <xdr:col>49</xdr:col>
      <xdr:colOff>165229</xdr:colOff>
      <xdr:row>7</xdr:row>
      <xdr:rowOff>38878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31665765" y="456811"/>
              <a:ext cx="2906097" cy="94278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100" b="0" i="0">
                  <a:solidFill>
                    <a:srgbClr val="00B0F0"/>
                  </a:solidFill>
                  <a:latin typeface="Cambria Math" panose="02040503050406030204" pitchFamily="18" charset="0"/>
                </a:rPr>
                <a:t>Test Function for creating Synthetic data from Chen,</a:t>
              </a:r>
              <a:r>
                <a:rPr lang="en-US" sz="1100" b="0" i="0" baseline="0">
                  <a:solidFill>
                    <a:srgbClr val="00B0F0"/>
                  </a:solidFill>
                  <a:latin typeface="Cambria Math" panose="02040503050406030204" pitchFamily="18" charset="0"/>
                </a:rPr>
                <a:t> Yan, Zhao et al. </a:t>
              </a:r>
              <a:r>
                <a:rPr lang="en-US" sz="1100" b="0" i="0">
                  <a:solidFill>
                    <a:srgbClr val="00B0F0"/>
                  </a:solidFill>
                  <a:latin typeface="Cambria Math" panose="02040503050406030204" pitchFamily="18" charset="0"/>
                </a:rPr>
                <a:t>(2017)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=15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𝜖</m:t>
                    </m:r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=0.1×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0,0.1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+0.9×(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,2)</m:t>
                    </m:r>
                  </m:oMath>
                </m:oMathPara>
              </a14:m>
              <a:endParaRPr lang="en-US" sz="1100" b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−1≤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≤1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31665765" y="456811"/>
              <a:ext cx="2906097" cy="94278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100" b="0" i="0">
                  <a:solidFill>
                    <a:srgbClr val="00B0F0"/>
                  </a:solidFill>
                  <a:latin typeface="Cambria Math" panose="02040503050406030204" pitchFamily="18" charset="0"/>
                </a:rPr>
                <a:t>Test Function for creating Synthetic data from Chen,</a:t>
              </a:r>
              <a:r>
                <a:rPr lang="en-US" sz="1100" b="0" i="0" baseline="0">
                  <a:solidFill>
                    <a:srgbClr val="00B0F0"/>
                  </a:solidFill>
                  <a:latin typeface="Cambria Math" panose="02040503050406030204" pitchFamily="18" charset="0"/>
                </a:rPr>
                <a:t> Yan, Zhao et al. </a:t>
              </a:r>
              <a:r>
                <a:rPr lang="en-US" sz="1100" b="0" i="0">
                  <a:solidFill>
                    <a:srgbClr val="00B0F0"/>
                  </a:solidFill>
                  <a:latin typeface="Cambria Math" panose="02040503050406030204" pitchFamily="18" charset="0"/>
                </a:rPr>
                <a:t>(2017)</a:t>
              </a:r>
            </a:p>
            <a:p>
              <a:r>
                <a:rPr lang="en-US" sz="1100" b="0" i="0">
                  <a:latin typeface="Cambria Math" panose="02040503050406030204" pitchFamily="18" charset="0"/>
                </a:rPr>
                <a:t>𝑦=15(𝑥^2−1)^2 𝑥^4 𝑒^(−𝑥)+𝜖</a:t>
              </a:r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𝜖=0.1×𝑁(0,0.1)+0.9×(𝑁,2)</a:t>
              </a:r>
              <a:endParaRPr lang="en-US" sz="1100" b="0"/>
            </a:p>
            <a:p>
              <a:r>
                <a:rPr lang="en-US" sz="1100" b="0" i="0">
                  <a:latin typeface="Cambria Math" panose="02040503050406030204" pitchFamily="18" charset="0"/>
                </a:rPr>
                <a:t>−1≤𝑥≤1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49</xdr:col>
      <xdr:colOff>272142</xdr:colOff>
      <xdr:row>1</xdr:row>
      <xdr:rowOff>87474</xdr:rowOff>
    </xdr:from>
    <xdr:to>
      <xdr:col>54</xdr:col>
      <xdr:colOff>379057</xdr:colOff>
      <xdr:row>7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34921759" y="281862"/>
          <a:ext cx="3168522" cy="1078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0" i="0">
              <a:latin typeface="Cambria Math" panose="02040503050406030204" pitchFamily="18" charset="0"/>
            </a:rPr>
            <a:t>Source for data: </a:t>
          </a:r>
        </a:p>
        <a:p>
          <a:pPr algn="l"/>
          <a:r>
            <a:rPr lang="en-US" sz="1100"/>
            <a:t>Chen, C., Yan, C., Zhao, N., Guo, B., &amp; Liu, G. (2017). A robust algorithm of support vector regression with a trimmed Huber loss function in the primal. Soft Computing, 21(18), 5235-5243.</a:t>
          </a:r>
        </a:p>
      </xdr:txBody>
    </xdr:sp>
    <xdr:clientData/>
  </xdr:twoCellAnchor>
  <xdr:twoCellAnchor>
    <xdr:from>
      <xdr:col>55</xdr:col>
      <xdr:colOff>187584</xdr:colOff>
      <xdr:row>8</xdr:row>
      <xdr:rowOff>159202</xdr:rowOff>
    </xdr:from>
    <xdr:to>
      <xdr:col>62</xdr:col>
      <xdr:colOff>19439</xdr:colOff>
      <xdr:row>22</xdr:row>
      <xdr:rowOff>180973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J2:BD509"/>
  <sheetViews>
    <sheetView tabSelected="1" topLeftCell="AL1" zoomScale="98" zoomScaleNormal="98" workbookViewId="0">
      <selection activeCell="AX14" sqref="AX14"/>
    </sheetView>
  </sheetViews>
  <sheetFormatPr defaultRowHeight="15" x14ac:dyDescent="0.25"/>
  <cols>
    <col min="13" max="13" width="15.42578125" customWidth="1"/>
    <col min="14" max="14" width="10" style="3" customWidth="1"/>
    <col min="15" max="15" width="27.42578125" style="3" customWidth="1"/>
    <col min="16" max="16" width="13.85546875" customWidth="1"/>
    <col min="17" max="17" width="11.28515625" customWidth="1"/>
    <col min="18" max="18" width="13.85546875" style="3" customWidth="1"/>
    <col min="19" max="19" width="11.28515625" style="3" customWidth="1"/>
    <col min="20" max="21" width="13.85546875" style="3" customWidth="1"/>
    <col min="22" max="24" width="11.28515625" style="3" customWidth="1"/>
    <col min="25" max="25" width="10" style="3" customWidth="1"/>
    <col min="26" max="26" width="13.85546875" style="3" customWidth="1"/>
    <col min="27" max="28" width="9.140625" style="3"/>
    <col min="29" max="30" width="11.28515625" style="3" customWidth="1"/>
    <col min="32" max="32" width="9" customWidth="1"/>
    <col min="33" max="33" width="11.5703125" customWidth="1"/>
    <col min="35" max="35" width="9.140625" style="3"/>
    <col min="55" max="55" width="13" customWidth="1"/>
  </cols>
  <sheetData>
    <row r="2" spans="10:56" x14ac:dyDescent="0.25">
      <c r="O2" s="3" t="s">
        <v>7</v>
      </c>
    </row>
    <row r="3" spans="10:56" x14ac:dyDescent="0.25">
      <c r="O3" s="7">
        <f>MIN(O7:O507)</f>
        <v>-0.47915698194873457</v>
      </c>
      <c r="Q3" t="s">
        <v>12</v>
      </c>
      <c r="S3" s="3" t="s">
        <v>12</v>
      </c>
      <c r="V3" s="3" t="s">
        <v>12</v>
      </c>
    </row>
    <row r="4" spans="10:56" x14ac:dyDescent="0.25">
      <c r="O4" s="7">
        <f>MAX(O7:O507)</f>
        <v>2.3415838726301148</v>
      </c>
      <c r="Q4">
        <f>SUMSQ(Q7:Q507)</f>
        <v>24.068295355810623</v>
      </c>
      <c r="S4" s="3">
        <f>SUMSQ(S7:S507)</f>
        <v>0.76789766907725288</v>
      </c>
      <c r="T4" s="3">
        <f>SUM(T7:T507)/COUNT(T7:T507)</f>
        <v>0.95209580838323349</v>
      </c>
      <c r="V4" s="3">
        <f>SUMSQ(V7:V507)</f>
        <v>1.0623604520221124</v>
      </c>
      <c r="W4" s="3">
        <f>SUM(W7:W507)/COUNT(W7:W507)</f>
        <v>5.1896207584830337E-2</v>
      </c>
      <c r="AK4" t="s">
        <v>20</v>
      </c>
    </row>
    <row r="5" spans="10:56" x14ac:dyDescent="0.25">
      <c r="S5" s="3">
        <v>0.08</v>
      </c>
      <c r="V5" s="3">
        <v>9.5000000000000001E-2</v>
      </c>
      <c r="AF5" t="s">
        <v>39</v>
      </c>
      <c r="AK5">
        <v>0</v>
      </c>
      <c r="AL5">
        <v>0</v>
      </c>
      <c r="AM5">
        <v>0</v>
      </c>
    </row>
    <row r="6" spans="10:56" x14ac:dyDescent="0.25">
      <c r="J6" t="s">
        <v>0</v>
      </c>
      <c r="K6" t="s">
        <v>4</v>
      </c>
      <c r="L6" t="s">
        <v>5</v>
      </c>
      <c r="M6" t="s">
        <v>8</v>
      </c>
      <c r="N6" s="7" t="str">
        <f>K6</f>
        <v>x</v>
      </c>
      <c r="O6" s="3" t="s">
        <v>6</v>
      </c>
      <c r="P6" t="s">
        <v>9</v>
      </c>
      <c r="Q6" t="s">
        <v>11</v>
      </c>
      <c r="R6" s="3" t="s">
        <v>13</v>
      </c>
      <c r="S6" s="3" t="s">
        <v>14</v>
      </c>
      <c r="T6" s="3" t="s">
        <v>19</v>
      </c>
      <c r="U6" s="3" t="s">
        <v>17</v>
      </c>
      <c r="V6" s="3" t="s">
        <v>18</v>
      </c>
      <c r="W6" s="3" t="s">
        <v>19</v>
      </c>
      <c r="Y6" s="7" t="s">
        <v>4</v>
      </c>
      <c r="Z6" s="3" t="s">
        <v>9</v>
      </c>
      <c r="AC6" s="3" t="s">
        <v>21</v>
      </c>
      <c r="AD6" s="3" t="s">
        <v>22</v>
      </c>
      <c r="AK6">
        <v>0</v>
      </c>
      <c r="AL6">
        <v>0</v>
      </c>
      <c r="AM6">
        <v>0</v>
      </c>
    </row>
    <row r="7" spans="10:56" x14ac:dyDescent="0.25">
      <c r="J7">
        <v>1</v>
      </c>
      <c r="K7" s="7">
        <v>-0.99569429756711392</v>
      </c>
      <c r="L7" s="7">
        <f>15*(K7^2-1)^2*K7^4*EXP(-1*K7)</f>
        <v>2.946428694513593E-3</v>
      </c>
      <c r="M7" s="7">
        <f t="shared" ref="M7:M70" ca="1" si="0">L7+0.9*_xlfn.NORM.INV(RAND(),0,0.1)+0.1*_xlfn.NORM.INV(RAND(),0,2)</f>
        <v>-0.3565714933131055</v>
      </c>
      <c r="N7" s="7">
        <f t="shared" ref="N7:N70" si="1">K7</f>
        <v>-0.99569429756711392</v>
      </c>
      <c r="O7" s="7">
        <v>-0.26698963062530667</v>
      </c>
      <c r="P7" s="7">
        <f t="shared" ref="P7:P70" si="2">AG$8+AG$9*TANH(AG$10+AG$11*TANH(AG$12+AG$13*N7)+AG$14*TANH(AG$15+AG$16*N7)+AG$17*TANH(AG$18+AG$19*N7)+AG$20*TANH(AG$21+AG$22*N7))+AG$23*TANH(AG$24+AG$25*N7)</f>
        <v>-0.21811307082338294</v>
      </c>
      <c r="Q7" s="7">
        <f>P7-O7</f>
        <v>4.8876559801923736E-2</v>
      </c>
      <c r="R7" s="7">
        <f t="shared" ref="R7:R70" si="3">AH$8+AH$9*TANH(AH$10+AH$11*TANH(AH$12+AH$13*$N7)+AH$14*TANH(AH$15+AH$16*$N7)+AH$17*TANH(AH$18+AH$19*$N7)+AH$20*TANH(AH$21+AH$22*$N7))+AH$23*TANH(AH$24+AH$25*$N7)</f>
        <v>-0.51789386472094867</v>
      </c>
      <c r="S7" s="7">
        <f>IF(R7-O7&gt;0,1-$S$5,$S$5)*(R7-O7)</f>
        <v>-2.0072338727651361E-2</v>
      </c>
      <c r="T7" s="7">
        <f>IF(R7&lt;O7,1,0)</f>
        <v>1</v>
      </c>
      <c r="U7" s="7">
        <f t="shared" ref="U7:U70" si="4">AI$8+AI$9*TANH(AI$10+AI$11*TANH(AI$12+AI$13*$N7)+AI$14*TANH(AI$15+AI$16*$N7)+AI$17*TANH(AI$18+AI$19*$N7)+AI$20*TANH(AI$21+AI$22*$N7))+AI$23*TANH(AI$24+AI$25*$N7)</f>
        <v>0.24680849624927959</v>
      </c>
      <c r="V7" s="7">
        <f>IF(U7-O7&lt;0,1-$V$5,$V$5)*(U7-O7)</f>
        <v>4.8810822053085692E-2</v>
      </c>
      <c r="W7" s="7">
        <f>IF(U7&lt;O7,1,0)</f>
        <v>0</v>
      </c>
      <c r="X7" s="8" t="s">
        <v>3</v>
      </c>
      <c r="Y7" s="7">
        <v>-0.99569429756711392</v>
      </c>
      <c r="Z7" s="7">
        <v>-0.21811307082338294</v>
      </c>
      <c r="AC7" s="7">
        <f>P7-R7</f>
        <v>0.29978079389756573</v>
      </c>
      <c r="AD7" s="7">
        <f>U7-P7</f>
        <v>0.46492156707266252</v>
      </c>
      <c r="AE7" s="6" t="s">
        <v>3</v>
      </c>
      <c r="AF7" s="4"/>
      <c r="AG7" s="4" t="s">
        <v>10</v>
      </c>
      <c r="AH7" s="4" t="s">
        <v>15</v>
      </c>
      <c r="AI7" s="4" t="s">
        <v>16</v>
      </c>
      <c r="AJ7" s="6" t="s">
        <v>3</v>
      </c>
      <c r="AK7" s="5">
        <f>1000*(N7-MIN(N$7:N$507))/(MAX(N$7:N$507)-MIN(N$7:N$507))</f>
        <v>0</v>
      </c>
      <c r="AL7" s="7">
        <f>R7</f>
        <v>-0.51789386472094867</v>
      </c>
      <c r="AM7" s="7">
        <f>U7-0*R7</f>
        <v>0.24680849624927959</v>
      </c>
    </row>
    <row r="8" spans="10:56" x14ac:dyDescent="0.25">
      <c r="J8">
        <v>2</v>
      </c>
      <c r="K8" s="7">
        <v>-0.99568056419404494</v>
      </c>
      <c r="L8" s="7">
        <f t="shared" ref="L8:L71" si="5">15*(K8^2-1)^2*K8^4*EXP(-1*K8)</f>
        <v>2.9650092760162691E-3</v>
      </c>
      <c r="M8" s="7">
        <f t="shared" ca="1" si="0"/>
        <v>-3.968050052109609E-2</v>
      </c>
      <c r="N8" s="7">
        <f t="shared" si="1"/>
        <v>-0.99568056419404494</v>
      </c>
      <c r="O8" s="7">
        <v>-0.34789770494427913</v>
      </c>
      <c r="P8" s="7">
        <f t="shared" si="2"/>
        <v>-0.21794530989517624</v>
      </c>
      <c r="Q8" s="7">
        <f t="shared" ref="Q8:Q71" si="6">P8-O8</f>
        <v>0.12995239504910289</v>
      </c>
      <c r="R8" s="7">
        <f t="shared" si="3"/>
        <v>-0.5177399995791282</v>
      </c>
      <c r="S8" s="7">
        <f t="shared" ref="S8:S71" si="7">IF(R8-O8&gt;0,1-$S$5,$S$5)*(R8-O8)</f>
        <v>-1.3587383570787925E-2</v>
      </c>
      <c r="T8" s="7">
        <f t="shared" ref="T8:T71" si="8">IF(R8&lt;O8,1,0)</f>
        <v>1</v>
      </c>
      <c r="U8" s="7">
        <f t="shared" si="4"/>
        <v>0.24689201345221523</v>
      </c>
      <c r="V8" s="7">
        <f t="shared" ref="V8:V71" si="9">IF(U8-O8&lt;0,1-$V$5,$V$5)*(U8-O8)</f>
        <v>5.6505023247666958E-2</v>
      </c>
      <c r="W8" s="7">
        <f t="shared" ref="W8:W71" si="10">IF(U8&lt;O8,1,0)</f>
        <v>0</v>
      </c>
      <c r="X8" s="8" t="s">
        <v>3</v>
      </c>
      <c r="Y8" s="7">
        <v>-0.99568056419404494</v>
      </c>
      <c r="Z8" s="7">
        <v>-0.21794530989517624</v>
      </c>
      <c r="AC8" s="7">
        <f t="shared" ref="AC8:AC71" si="11">P8-R8</f>
        <v>0.29979468968395195</v>
      </c>
      <c r="AD8" s="7">
        <f t="shared" ref="AD8:AD71" si="12">U8-P8</f>
        <v>0.46483732334739147</v>
      </c>
      <c r="AE8" s="6" t="s">
        <v>3</v>
      </c>
      <c r="AF8" s="2" t="s">
        <v>1</v>
      </c>
      <c r="AG8" s="1">
        <v>-1.4568391249315009</v>
      </c>
      <c r="AH8" s="1">
        <v>-2.3098313454122366</v>
      </c>
      <c r="AI8" s="1">
        <v>0.95447332670759066</v>
      </c>
      <c r="AJ8" s="6" t="s">
        <v>3</v>
      </c>
      <c r="AK8" s="5">
        <f t="shared" ref="AK8:AK71" si="13">1000*(N8-MIN(N$7:N$507))/(MAX(N$7:N$507)-MIN(N$7:N$507))</f>
        <v>6.9027579560575663E-3</v>
      </c>
      <c r="AL8" s="7">
        <f t="shared" ref="AL8:AL71" si="14">R8</f>
        <v>-0.5177399995791282</v>
      </c>
      <c r="AM8" s="7">
        <f t="shared" ref="AM8:AM71" si="15">U8-0*R8</f>
        <v>0.24689201345221523</v>
      </c>
      <c r="BC8" t="s">
        <v>40</v>
      </c>
      <c r="BD8" t="s">
        <v>41</v>
      </c>
    </row>
    <row r="9" spans="10:56" x14ac:dyDescent="0.25">
      <c r="J9" s="3">
        <v>3</v>
      </c>
      <c r="K9" s="7">
        <v>-0.99321005299294041</v>
      </c>
      <c r="L9" s="7">
        <f t="shared" si="5"/>
        <v>7.2183882714380162E-3</v>
      </c>
      <c r="M9" s="7">
        <f t="shared" ca="1" si="0"/>
        <v>0.2956384308446981</v>
      </c>
      <c r="N9" s="7">
        <f t="shared" si="1"/>
        <v>-0.99321005299294041</v>
      </c>
      <c r="O9" s="7">
        <v>0.19172323270677219</v>
      </c>
      <c r="P9" s="7">
        <f t="shared" si="2"/>
        <v>-0.18772652852129812</v>
      </c>
      <c r="Q9" s="7">
        <f t="shared" si="6"/>
        <v>-0.37944976122807028</v>
      </c>
      <c r="R9" s="7">
        <f t="shared" si="3"/>
        <v>-0.49005231831304596</v>
      </c>
      <c r="S9" s="7">
        <f t="shared" si="7"/>
        <v>-5.4542044081585452E-2</v>
      </c>
      <c r="T9" s="7">
        <f t="shared" si="8"/>
        <v>1</v>
      </c>
      <c r="U9" s="7">
        <f t="shared" si="4"/>
        <v>0.26221422415542883</v>
      </c>
      <c r="V9" s="7">
        <f t="shared" si="9"/>
        <v>6.696644187622381E-3</v>
      </c>
      <c r="W9" s="7">
        <f t="shared" si="10"/>
        <v>0</v>
      </c>
      <c r="X9" s="8" t="s">
        <v>3</v>
      </c>
      <c r="Y9" s="7">
        <v>-0.99321005299294041</v>
      </c>
      <c r="Z9" s="7">
        <v>-0.18772652852129812</v>
      </c>
      <c r="AC9" s="7">
        <f t="shared" si="11"/>
        <v>0.30232578979174785</v>
      </c>
      <c r="AD9" s="7">
        <f t="shared" si="12"/>
        <v>0.44994075267672695</v>
      </c>
      <c r="AE9" s="6" t="s">
        <v>3</v>
      </c>
      <c r="AF9" s="2" t="s">
        <v>2</v>
      </c>
      <c r="AG9" s="1">
        <v>-2.0542389137925197</v>
      </c>
      <c r="AH9" s="1">
        <v>-2.6913074682194309</v>
      </c>
      <c r="AI9" s="1">
        <v>-3.3650918771132137</v>
      </c>
      <c r="AJ9" s="6" t="s">
        <v>3</v>
      </c>
      <c r="AK9" s="5">
        <f t="shared" si="13"/>
        <v>1.2486472851962072</v>
      </c>
      <c r="AL9" s="7">
        <f t="shared" si="14"/>
        <v>-0.49005231831304596</v>
      </c>
      <c r="AM9" s="7">
        <f t="shared" si="15"/>
        <v>0.26221422415542883</v>
      </c>
      <c r="BB9">
        <v>-0.2</v>
      </c>
      <c r="BC9" s="3">
        <f>2*0.5*BB9^2</f>
        <v>4.0000000000000008E-2</v>
      </c>
      <c r="BD9">
        <f t="shared" ref="BD9:BD19" si="16">2*0.1*BB9^2</f>
        <v>8.0000000000000019E-3</v>
      </c>
    </row>
    <row r="10" spans="10:56" x14ac:dyDescent="0.25">
      <c r="J10" s="3">
        <v>4</v>
      </c>
      <c r="K10" s="7">
        <v>-0.9901713635457996</v>
      </c>
      <c r="L10" s="7">
        <f t="shared" si="5"/>
        <v>1.4849989804886155E-2</v>
      </c>
      <c r="M10" s="7">
        <f t="shared" ca="1" si="0"/>
        <v>5.4594951979683231E-4</v>
      </c>
      <c r="N10" s="7">
        <f t="shared" si="1"/>
        <v>-0.9901713635457996</v>
      </c>
      <c r="O10" s="7">
        <v>-0.22162058452599265</v>
      </c>
      <c r="P10" s="7">
        <f t="shared" si="2"/>
        <v>-0.15045548410265164</v>
      </c>
      <c r="Q10" s="7">
        <f t="shared" si="6"/>
        <v>7.116510042334101E-2</v>
      </c>
      <c r="R10" s="7">
        <f t="shared" si="3"/>
        <v>-0.45597696477136307</v>
      </c>
      <c r="S10" s="7">
        <f t="shared" si="7"/>
        <v>-1.8748510419629633E-2</v>
      </c>
      <c r="T10" s="7">
        <f t="shared" si="8"/>
        <v>1</v>
      </c>
      <c r="U10" s="7">
        <f t="shared" si="4"/>
        <v>0.28187649422188277</v>
      </c>
      <c r="V10" s="7">
        <f t="shared" si="9"/>
        <v>4.7832222481048167E-2</v>
      </c>
      <c r="W10" s="7">
        <f t="shared" si="10"/>
        <v>0</v>
      </c>
      <c r="X10" s="8" t="s">
        <v>3</v>
      </c>
      <c r="Y10" s="7">
        <v>-0.9901713635457996</v>
      </c>
      <c r="Z10" s="7">
        <v>-0.15045548410265164</v>
      </c>
      <c r="AC10" s="7">
        <f t="shared" si="11"/>
        <v>0.30552148066871143</v>
      </c>
      <c r="AD10" s="7">
        <f t="shared" si="12"/>
        <v>0.43233197832453441</v>
      </c>
      <c r="AE10" s="6" t="s">
        <v>3</v>
      </c>
      <c r="AF10" s="2" t="s">
        <v>24</v>
      </c>
      <c r="AG10" s="1">
        <v>0.53598097439301695</v>
      </c>
      <c r="AH10" s="1">
        <v>0.98418789338407275</v>
      </c>
      <c r="AI10" s="1">
        <v>0.49238132321093225</v>
      </c>
      <c r="AJ10" s="6" t="s">
        <v>3</v>
      </c>
      <c r="AK10" s="5">
        <f t="shared" si="13"/>
        <v>2.775973285289838</v>
      </c>
      <c r="AL10" s="7">
        <f t="shared" si="14"/>
        <v>-0.45597696477136307</v>
      </c>
      <c r="AM10" s="7">
        <f t="shared" si="15"/>
        <v>0.28187649422188277</v>
      </c>
      <c r="BB10">
        <f t="shared" ref="BB10:BB29" si="17">BB9+0.02</f>
        <v>-0.18000000000000002</v>
      </c>
      <c r="BC10" s="3">
        <f t="shared" ref="BC10:BC18" si="18">2*0.5*BB10^2</f>
        <v>3.2400000000000005E-2</v>
      </c>
      <c r="BD10" s="3">
        <f t="shared" si="16"/>
        <v>6.4800000000000014E-3</v>
      </c>
    </row>
    <row r="11" spans="10:56" x14ac:dyDescent="0.25">
      <c r="J11" s="3">
        <v>5</v>
      </c>
      <c r="K11" s="7">
        <v>-0.98708933171046187</v>
      </c>
      <c r="L11" s="7">
        <f t="shared" si="5"/>
        <v>2.5149929450028644E-2</v>
      </c>
      <c r="M11" s="7">
        <f t="shared" ca="1" si="0"/>
        <v>-0.11842085603940598</v>
      </c>
      <c r="N11" s="7">
        <f t="shared" si="1"/>
        <v>-0.98708933171046187</v>
      </c>
      <c r="O11" s="7">
        <v>-0.20087977956649114</v>
      </c>
      <c r="P11" s="7">
        <f t="shared" si="2"/>
        <v>-0.11254972826268461</v>
      </c>
      <c r="Q11" s="7">
        <f t="shared" si="6"/>
        <v>8.8330051303806528E-2</v>
      </c>
      <c r="R11" s="7">
        <f t="shared" si="3"/>
        <v>-0.42139990395911875</v>
      </c>
      <c r="S11" s="7">
        <f t="shared" si="7"/>
        <v>-1.764160995141021E-2</v>
      </c>
      <c r="T11" s="7">
        <f t="shared" si="8"/>
        <v>1</v>
      </c>
      <c r="U11" s="7">
        <f t="shared" si="4"/>
        <v>0.3027425767995382</v>
      </c>
      <c r="V11" s="7">
        <f t="shared" si="9"/>
        <v>4.784412385477279E-2</v>
      </c>
      <c r="W11" s="7">
        <f t="shared" si="10"/>
        <v>0</v>
      </c>
      <c r="X11" s="8" t="s">
        <v>3</v>
      </c>
      <c r="Y11" s="7">
        <v>-0.98708933171046187</v>
      </c>
      <c r="Z11" s="7">
        <v>-0.11254972826268461</v>
      </c>
      <c r="AC11" s="7">
        <f t="shared" si="11"/>
        <v>0.30885017569643414</v>
      </c>
      <c r="AD11" s="7">
        <f t="shared" si="12"/>
        <v>0.41529230506222281</v>
      </c>
      <c r="AE11" s="6" t="s">
        <v>3</v>
      </c>
      <c r="AF11" s="2" t="s">
        <v>23</v>
      </c>
      <c r="AG11" s="1">
        <v>2.5981591343851682</v>
      </c>
      <c r="AH11" s="1">
        <v>3.3762432870017229</v>
      </c>
      <c r="AI11" s="1">
        <v>2.2377257471588177</v>
      </c>
      <c r="AJ11" s="6" t="s">
        <v>3</v>
      </c>
      <c r="AK11" s="5">
        <f t="shared" si="13"/>
        <v>4.3250843205280098</v>
      </c>
      <c r="AL11" s="7">
        <f t="shared" si="14"/>
        <v>-0.42139990395911875</v>
      </c>
      <c r="AM11" s="7">
        <f t="shared" si="15"/>
        <v>0.3027425767995382</v>
      </c>
      <c r="BB11" s="3">
        <f t="shared" si="17"/>
        <v>-0.16000000000000003</v>
      </c>
      <c r="BC11" s="3">
        <f t="shared" si="18"/>
        <v>2.5600000000000012E-2</v>
      </c>
      <c r="BD11" s="3">
        <f t="shared" si="16"/>
        <v>5.120000000000003E-3</v>
      </c>
    </row>
    <row r="12" spans="10:56" x14ac:dyDescent="0.25">
      <c r="J12" s="3">
        <v>6</v>
      </c>
      <c r="K12" s="7">
        <v>-0.9835524245552274</v>
      </c>
      <c r="L12" s="7">
        <f t="shared" si="5"/>
        <v>3.9950649444691205E-2</v>
      </c>
      <c r="M12" s="7">
        <f t="shared" ca="1" si="0"/>
        <v>-0.18163080034977303</v>
      </c>
      <c r="N12" s="7">
        <f t="shared" si="1"/>
        <v>-0.9835524245552274</v>
      </c>
      <c r="O12" s="7">
        <v>0.12628786842433604</v>
      </c>
      <c r="P12" s="7">
        <f t="shared" si="2"/>
        <v>-6.8939085299715375E-2</v>
      </c>
      <c r="Q12" s="7">
        <f t="shared" si="6"/>
        <v>-0.19522695372405141</v>
      </c>
      <c r="R12" s="7">
        <f t="shared" si="3"/>
        <v>-0.38170985912328859</v>
      </c>
      <c r="S12" s="7">
        <f t="shared" si="7"/>
        <v>-4.063981820380997E-2</v>
      </c>
      <c r="T12" s="7">
        <f t="shared" si="8"/>
        <v>1</v>
      </c>
      <c r="U12" s="7">
        <f t="shared" si="4"/>
        <v>0.32783671368115552</v>
      </c>
      <c r="V12" s="7">
        <f t="shared" si="9"/>
        <v>1.914714029939785E-2</v>
      </c>
      <c r="W12" s="7">
        <f t="shared" si="10"/>
        <v>0</v>
      </c>
      <c r="X12" s="8" t="s">
        <v>3</v>
      </c>
      <c r="Y12" s="7">
        <v>-0.9835524245552274</v>
      </c>
      <c r="Z12" s="7">
        <v>-6.8939085299715375E-2</v>
      </c>
      <c r="AC12" s="7">
        <f t="shared" si="11"/>
        <v>0.31277077382357321</v>
      </c>
      <c r="AD12" s="7">
        <f t="shared" si="12"/>
        <v>0.3967757989808709</v>
      </c>
      <c r="AE12" s="6" t="s">
        <v>3</v>
      </c>
      <c r="AF12" s="2" t="s">
        <v>25</v>
      </c>
      <c r="AG12" s="1">
        <v>1.41719097795566</v>
      </c>
      <c r="AH12" s="1">
        <v>1.7234246574181649</v>
      </c>
      <c r="AI12" s="1">
        <v>0.93659279540740348</v>
      </c>
      <c r="AJ12" s="6" t="s">
        <v>3</v>
      </c>
      <c r="AK12" s="5">
        <f t="shared" si="13"/>
        <v>6.1028277694973392</v>
      </c>
      <c r="AL12" s="7">
        <f t="shared" si="14"/>
        <v>-0.38170985912328859</v>
      </c>
      <c r="AM12" s="7">
        <f t="shared" si="15"/>
        <v>0.32783671368115552</v>
      </c>
      <c r="BB12" s="3">
        <f t="shared" si="17"/>
        <v>-0.14000000000000004</v>
      </c>
      <c r="BC12" s="3">
        <f t="shared" si="18"/>
        <v>1.960000000000001E-2</v>
      </c>
      <c r="BD12" s="3">
        <f t="shared" si="16"/>
        <v>3.9200000000000025E-3</v>
      </c>
    </row>
    <row r="13" spans="10:56" x14ac:dyDescent="0.25">
      <c r="J13" s="3">
        <v>7</v>
      </c>
      <c r="K13" s="7">
        <v>-0.98167576942930945</v>
      </c>
      <c r="L13" s="7">
        <f t="shared" si="5"/>
        <v>4.9024887824232324E-2</v>
      </c>
      <c r="M13" s="7">
        <f t="shared" ca="1" si="0"/>
        <v>0.43062345774270427</v>
      </c>
      <c r="N13" s="7">
        <f t="shared" si="1"/>
        <v>-0.98167576942930945</v>
      </c>
      <c r="O13" s="7">
        <v>0.18677295285834133</v>
      </c>
      <c r="P13" s="7">
        <f t="shared" si="2"/>
        <v>-4.5758533599847384E-2</v>
      </c>
      <c r="Q13" s="7">
        <f t="shared" si="6"/>
        <v>-0.23253148645818872</v>
      </c>
      <c r="R13" s="7">
        <f t="shared" si="3"/>
        <v>-0.36065015135645029</v>
      </c>
      <c r="S13" s="7">
        <f t="shared" si="7"/>
        <v>-4.3793848337183333E-2</v>
      </c>
      <c r="T13" s="7">
        <f t="shared" si="8"/>
        <v>1</v>
      </c>
      <c r="U13" s="7">
        <f t="shared" si="4"/>
        <v>0.34164986040101897</v>
      </c>
      <c r="V13" s="7">
        <f t="shared" si="9"/>
        <v>1.4713306216554376E-2</v>
      </c>
      <c r="W13" s="7">
        <f t="shared" si="10"/>
        <v>0</v>
      </c>
      <c r="X13" s="8" t="s">
        <v>3</v>
      </c>
      <c r="Y13" s="7">
        <v>-0.98167576942930945</v>
      </c>
      <c r="Z13" s="7">
        <v>-4.5758533599847384E-2</v>
      </c>
      <c r="AC13" s="7">
        <f t="shared" si="11"/>
        <v>0.3148916177566029</v>
      </c>
      <c r="AD13" s="7">
        <f t="shared" si="12"/>
        <v>0.38740839400086635</v>
      </c>
      <c r="AE13" s="6" t="s">
        <v>3</v>
      </c>
      <c r="AF13" s="2" t="s">
        <v>26</v>
      </c>
      <c r="AG13" s="1">
        <v>1.6582530052820053</v>
      </c>
      <c r="AH13" s="1">
        <v>1.7264420288089191</v>
      </c>
      <c r="AI13" s="1">
        <v>0.11447980361893931</v>
      </c>
      <c r="AJ13" s="6" t="s">
        <v>3</v>
      </c>
      <c r="AK13" s="5">
        <f t="shared" si="13"/>
        <v>7.0460844651496117</v>
      </c>
      <c r="AL13" s="7">
        <f t="shared" si="14"/>
        <v>-0.36065015135645029</v>
      </c>
      <c r="AM13" s="7">
        <f t="shared" si="15"/>
        <v>0.34164986040101897</v>
      </c>
      <c r="BB13" s="3">
        <f t="shared" si="17"/>
        <v>-0.12000000000000004</v>
      </c>
      <c r="BC13" s="3">
        <f t="shared" si="18"/>
        <v>1.4400000000000008E-2</v>
      </c>
      <c r="BD13" s="3">
        <f t="shared" si="16"/>
        <v>2.8800000000000019E-3</v>
      </c>
    </row>
    <row r="14" spans="10:56" x14ac:dyDescent="0.25">
      <c r="J14" s="3">
        <v>8</v>
      </c>
      <c r="K14" s="7">
        <v>-0.97758000590186755</v>
      </c>
      <c r="L14" s="7">
        <f t="shared" si="5"/>
        <v>7.1580910172214476E-2</v>
      </c>
      <c r="M14" s="7">
        <f t="shared" ca="1" si="0"/>
        <v>0.38507706425909516</v>
      </c>
      <c r="N14" s="7">
        <f t="shared" si="1"/>
        <v>-0.97758000590186755</v>
      </c>
      <c r="O14" s="7">
        <v>-0.11069290871696802</v>
      </c>
      <c r="P14" s="7">
        <f t="shared" si="2"/>
        <v>4.9127656190955937E-3</v>
      </c>
      <c r="Q14" s="7">
        <f t="shared" si="6"/>
        <v>0.11560567433606361</v>
      </c>
      <c r="R14" s="7">
        <f t="shared" si="3"/>
        <v>-0.31469691581881176</v>
      </c>
      <c r="S14" s="7">
        <f t="shared" si="7"/>
        <v>-1.6320320568147501E-2</v>
      </c>
      <c r="T14" s="7">
        <f t="shared" si="8"/>
        <v>1</v>
      </c>
      <c r="U14" s="7">
        <f t="shared" si="4"/>
        <v>0.37299385479624592</v>
      </c>
      <c r="V14" s="7">
        <f t="shared" si="9"/>
        <v>4.5950242533755327E-2</v>
      </c>
      <c r="W14" s="7">
        <f t="shared" si="10"/>
        <v>0</v>
      </c>
      <c r="X14" s="8" t="s">
        <v>3</v>
      </c>
      <c r="Y14" s="7">
        <v>-0.97758000590186755</v>
      </c>
      <c r="Z14" s="7">
        <v>4.9127656190955937E-3</v>
      </c>
      <c r="AC14" s="7">
        <f t="shared" si="11"/>
        <v>0.31960968143790736</v>
      </c>
      <c r="AD14" s="7">
        <f t="shared" si="12"/>
        <v>0.36808108917715032</v>
      </c>
      <c r="AE14" s="6" t="s">
        <v>3</v>
      </c>
      <c r="AF14" s="2" t="s">
        <v>27</v>
      </c>
      <c r="AG14" s="1">
        <v>6.1236844727858966</v>
      </c>
      <c r="AH14" s="1">
        <v>7.8766688740028403</v>
      </c>
      <c r="AI14" s="1">
        <v>5.9455760868097336</v>
      </c>
      <c r="AJ14" s="6" t="s">
        <v>3</v>
      </c>
      <c r="AK14" s="5">
        <f t="shared" si="13"/>
        <v>9.1047239656695673</v>
      </c>
      <c r="AL14" s="7">
        <f t="shared" si="14"/>
        <v>-0.31469691581881176</v>
      </c>
      <c r="AM14" s="7">
        <f t="shared" si="15"/>
        <v>0.37299385479624592</v>
      </c>
      <c r="BB14" s="3">
        <f t="shared" si="17"/>
        <v>-0.10000000000000003</v>
      </c>
      <c r="BC14" s="3">
        <f t="shared" si="18"/>
        <v>1.0000000000000007E-2</v>
      </c>
      <c r="BD14" s="3">
        <f t="shared" si="16"/>
        <v>2.0000000000000013E-3</v>
      </c>
    </row>
    <row r="15" spans="10:56" x14ac:dyDescent="0.25">
      <c r="J15" s="3">
        <v>9</v>
      </c>
      <c r="K15" s="7">
        <v>-0.97382748768372718</v>
      </c>
      <c r="L15" s="7">
        <f t="shared" si="5"/>
        <v>9.5335904272279212E-2</v>
      </c>
      <c r="M15" s="7">
        <f t="shared" ca="1" si="0"/>
        <v>0.22208862063577794</v>
      </c>
      <c r="N15" s="7">
        <f t="shared" si="1"/>
        <v>-0.97382748768372718</v>
      </c>
      <c r="O15" s="7">
        <v>3.0395930797370588E-2</v>
      </c>
      <c r="P15" s="7">
        <f t="shared" si="2"/>
        <v>5.1410603878525529E-2</v>
      </c>
      <c r="Q15" s="7">
        <f t="shared" si="6"/>
        <v>2.1014673081154941E-2</v>
      </c>
      <c r="R15" s="7">
        <f t="shared" si="3"/>
        <v>-0.27261880276598327</v>
      </c>
      <c r="S15" s="7">
        <f t="shared" si="7"/>
        <v>-2.424117868506831E-2</v>
      </c>
      <c r="T15" s="7">
        <f t="shared" si="8"/>
        <v>1</v>
      </c>
      <c r="U15" s="7">
        <f t="shared" si="4"/>
        <v>0.40314457356370381</v>
      </c>
      <c r="V15" s="7">
        <f t="shared" si="9"/>
        <v>3.5411121062801657E-2</v>
      </c>
      <c r="W15" s="7">
        <f t="shared" si="10"/>
        <v>0</v>
      </c>
      <c r="X15" s="8" t="s">
        <v>3</v>
      </c>
      <c r="Y15" s="7">
        <v>-0.97382748768372718</v>
      </c>
      <c r="Z15" s="7">
        <v>5.1410603878525529E-2</v>
      </c>
      <c r="AC15" s="7">
        <f t="shared" si="11"/>
        <v>0.3240294066445088</v>
      </c>
      <c r="AD15" s="7">
        <f t="shared" si="12"/>
        <v>0.35173396968517828</v>
      </c>
      <c r="AE15" s="6" t="s">
        <v>3</v>
      </c>
      <c r="AF15" s="2" t="s">
        <v>28</v>
      </c>
      <c r="AG15" s="1">
        <v>-0.79448144983229341</v>
      </c>
      <c r="AH15" s="1">
        <v>-1.0149549834421892</v>
      </c>
      <c r="AI15" s="1">
        <v>-0.35722851854543619</v>
      </c>
      <c r="AJ15" s="6" t="s">
        <v>3</v>
      </c>
      <c r="AK15" s="5">
        <f t="shared" si="13"/>
        <v>10.990839259808489</v>
      </c>
      <c r="AL15" s="7">
        <f t="shared" si="14"/>
        <v>-0.27261880276598327</v>
      </c>
      <c r="AM15" s="7">
        <f t="shared" si="15"/>
        <v>0.40314457356370381</v>
      </c>
      <c r="BB15" s="3">
        <f t="shared" si="17"/>
        <v>-8.0000000000000029E-2</v>
      </c>
      <c r="BC15" s="3">
        <f t="shared" si="18"/>
        <v>6.4000000000000046E-3</v>
      </c>
      <c r="BD15" s="3">
        <f t="shared" si="16"/>
        <v>1.280000000000001E-3</v>
      </c>
    </row>
    <row r="16" spans="10:56" x14ac:dyDescent="0.25">
      <c r="J16" s="3">
        <v>10</v>
      </c>
      <c r="K16" s="7">
        <v>-0.96711666778159233</v>
      </c>
      <c r="L16" s="7">
        <f t="shared" si="5"/>
        <v>0.14442156301648545</v>
      </c>
      <c r="M16" s="7">
        <f t="shared" ca="1" si="0"/>
        <v>0.14061462212005493</v>
      </c>
      <c r="N16" s="7">
        <f t="shared" si="1"/>
        <v>-0.96711666778159233</v>
      </c>
      <c r="O16" s="7">
        <v>0.5406921037061827</v>
      </c>
      <c r="P16" s="7">
        <f t="shared" si="2"/>
        <v>0.13465351803204018</v>
      </c>
      <c r="Q16" s="7">
        <f t="shared" si="6"/>
        <v>-0.40603858567414253</v>
      </c>
      <c r="R16" s="7">
        <f t="shared" si="3"/>
        <v>-0.19747305063095333</v>
      </c>
      <c r="S16" s="7">
        <f t="shared" si="7"/>
        <v>-5.9053212346970883E-2</v>
      </c>
      <c r="T16" s="7">
        <f t="shared" si="8"/>
        <v>1</v>
      </c>
      <c r="U16" s="7">
        <f t="shared" si="4"/>
        <v>0.4604358968516018</v>
      </c>
      <c r="V16" s="7">
        <f t="shared" si="9"/>
        <v>-7.263186720339572E-2</v>
      </c>
      <c r="W16" s="7">
        <f t="shared" si="10"/>
        <v>1</v>
      </c>
      <c r="X16" s="8" t="s">
        <v>3</v>
      </c>
      <c r="Y16" s="7">
        <v>-0.96711666778159233</v>
      </c>
      <c r="Z16" s="7">
        <v>0.13465351803204018</v>
      </c>
      <c r="AC16" s="7">
        <f t="shared" si="11"/>
        <v>0.3321265686629935</v>
      </c>
      <c r="AD16" s="7">
        <f t="shared" si="12"/>
        <v>0.32578237881956162</v>
      </c>
      <c r="AE16" s="6" t="s">
        <v>3</v>
      </c>
      <c r="AF16" s="2" t="s">
        <v>29</v>
      </c>
      <c r="AG16" s="1">
        <v>1.1681043009900505</v>
      </c>
      <c r="AH16" s="1">
        <v>1.3985155381389509</v>
      </c>
      <c r="AI16" s="1">
        <v>0.67068767164579146</v>
      </c>
      <c r="AJ16" s="6" t="s">
        <v>3</v>
      </c>
      <c r="AK16" s="5">
        <f t="shared" si="13"/>
        <v>14.363875529809857</v>
      </c>
      <c r="AL16" s="7">
        <f t="shared" si="14"/>
        <v>-0.19747305063095333</v>
      </c>
      <c r="AM16" s="7">
        <f t="shared" si="15"/>
        <v>0.4604358968516018</v>
      </c>
      <c r="BB16" s="3">
        <f t="shared" si="17"/>
        <v>-6.0000000000000026E-2</v>
      </c>
      <c r="BC16" s="3">
        <f t="shared" si="18"/>
        <v>3.6000000000000029E-3</v>
      </c>
      <c r="BD16" s="3">
        <f t="shared" si="16"/>
        <v>7.2000000000000059E-4</v>
      </c>
    </row>
    <row r="17" spans="10:56" x14ac:dyDescent="0.25">
      <c r="J17" s="3">
        <v>11</v>
      </c>
      <c r="K17" s="7">
        <v>-0.9564964002773173</v>
      </c>
      <c r="L17" s="7">
        <f t="shared" si="5"/>
        <v>0.23671960220436311</v>
      </c>
      <c r="M17" s="7">
        <f t="shared" ca="1" si="0"/>
        <v>0.10265420280363471</v>
      </c>
      <c r="N17" s="7">
        <f t="shared" si="1"/>
        <v>-0.9564964002773173</v>
      </c>
      <c r="O17" s="7">
        <v>2.2391817832973643E-2</v>
      </c>
      <c r="P17" s="7">
        <f t="shared" si="2"/>
        <v>0.26628737865338081</v>
      </c>
      <c r="Q17" s="7">
        <f t="shared" si="6"/>
        <v>0.24389556082040717</v>
      </c>
      <c r="R17" s="7">
        <f t="shared" si="3"/>
        <v>-7.9011453667639897E-2</v>
      </c>
      <c r="S17" s="7">
        <f t="shared" si="7"/>
        <v>-8.1122617200490837E-3</v>
      </c>
      <c r="T17" s="7">
        <f t="shared" si="8"/>
        <v>1</v>
      </c>
      <c r="U17" s="7">
        <f t="shared" si="4"/>
        <v>0.55964588693055539</v>
      </c>
      <c r="V17" s="7">
        <f t="shared" si="9"/>
        <v>5.1039136564270268E-2</v>
      </c>
      <c r="W17" s="7">
        <f t="shared" si="10"/>
        <v>0</v>
      </c>
      <c r="X17" s="8" t="s">
        <v>3</v>
      </c>
      <c r="Y17" s="7">
        <v>-0.9564964002773173</v>
      </c>
      <c r="Z17" s="7">
        <v>0.26628737865338081</v>
      </c>
      <c r="AC17" s="7">
        <f t="shared" si="11"/>
        <v>0.34529883232102071</v>
      </c>
      <c r="AD17" s="7">
        <f t="shared" si="12"/>
        <v>0.29335850827717458</v>
      </c>
      <c r="AE17" s="6" t="s">
        <v>3</v>
      </c>
      <c r="AF17" s="2" t="s">
        <v>30</v>
      </c>
      <c r="AG17" s="1">
        <v>-0.10821887133933315</v>
      </c>
      <c r="AH17" s="1">
        <v>-0.24111968422673449</v>
      </c>
      <c r="AI17" s="1">
        <v>-0.39470467619199678</v>
      </c>
      <c r="AJ17" s="6" t="s">
        <v>3</v>
      </c>
      <c r="AK17" s="5">
        <f t="shared" si="13"/>
        <v>19.701903969172488</v>
      </c>
      <c r="AL17" s="7">
        <f t="shared" si="14"/>
        <v>-7.9011453667639897E-2</v>
      </c>
      <c r="AM17" s="7">
        <f t="shared" si="15"/>
        <v>0.55964588693055539</v>
      </c>
      <c r="BB17" s="3">
        <f t="shared" si="17"/>
        <v>-4.0000000000000022E-2</v>
      </c>
      <c r="BC17" s="3">
        <f t="shared" si="18"/>
        <v>1.6000000000000018E-3</v>
      </c>
      <c r="BD17" s="3">
        <f t="shared" si="16"/>
        <v>3.2000000000000041E-4</v>
      </c>
    </row>
    <row r="18" spans="10:56" x14ac:dyDescent="0.25">
      <c r="J18" s="3">
        <v>12</v>
      </c>
      <c r="K18" s="7">
        <v>-0.94788637258041986</v>
      </c>
      <c r="L18" s="7">
        <f t="shared" si="5"/>
        <v>0.32196454137848451</v>
      </c>
      <c r="M18" s="7">
        <f t="shared" ca="1" si="0"/>
        <v>0.15308967794026304</v>
      </c>
      <c r="N18" s="7">
        <f t="shared" si="1"/>
        <v>-0.94788637258041986</v>
      </c>
      <c r="O18" s="7">
        <v>0.13474607974560829</v>
      </c>
      <c r="P18" s="7">
        <f t="shared" si="2"/>
        <v>0.37253126634545358</v>
      </c>
      <c r="Q18" s="7">
        <f t="shared" si="6"/>
        <v>0.23778518659984529</v>
      </c>
      <c r="R18" s="7">
        <f t="shared" si="3"/>
        <v>1.6397721379696029E-2</v>
      </c>
      <c r="S18" s="7">
        <f t="shared" si="7"/>
        <v>-9.4678686692729816E-3</v>
      </c>
      <c r="T18" s="7">
        <f t="shared" si="8"/>
        <v>1</v>
      </c>
      <c r="U18" s="7">
        <f t="shared" si="4"/>
        <v>0.64727575738746346</v>
      </c>
      <c r="V18" s="7">
        <f t="shared" si="9"/>
        <v>4.8690319375976246E-2</v>
      </c>
      <c r="W18" s="7">
        <f t="shared" si="10"/>
        <v>0</v>
      </c>
      <c r="X18" s="8" t="s">
        <v>3</v>
      </c>
      <c r="Y18" s="7">
        <v>-0.94788637258041986</v>
      </c>
      <c r="Z18" s="7">
        <v>0.37253126634545358</v>
      </c>
      <c r="AC18" s="7">
        <f t="shared" si="11"/>
        <v>0.35613354496575755</v>
      </c>
      <c r="AD18" s="7">
        <f t="shared" si="12"/>
        <v>0.27474449104200988</v>
      </c>
      <c r="AE18" s="6" t="s">
        <v>3</v>
      </c>
      <c r="AF18" s="2" t="s">
        <v>31</v>
      </c>
      <c r="AG18" s="1">
        <v>-0.46383033733800072</v>
      </c>
      <c r="AH18" s="1">
        <v>-0.18863501569401747</v>
      </c>
      <c r="AI18" s="1">
        <v>0.88985840150194739</v>
      </c>
      <c r="AJ18" s="6" t="s">
        <v>3</v>
      </c>
      <c r="AK18" s="5">
        <f t="shared" si="13"/>
        <v>24.029532505010948</v>
      </c>
      <c r="AL18" s="7">
        <f t="shared" si="14"/>
        <v>1.6397721379696029E-2</v>
      </c>
      <c r="AM18" s="7">
        <f t="shared" si="15"/>
        <v>0.64727575738746346</v>
      </c>
      <c r="BB18" s="3">
        <f t="shared" si="17"/>
        <v>-2.0000000000000021E-2</v>
      </c>
      <c r="BC18" s="3">
        <f t="shared" si="18"/>
        <v>4.0000000000000083E-4</v>
      </c>
      <c r="BD18" s="3">
        <f t="shared" si="16"/>
        <v>8.0000000000000169E-5</v>
      </c>
    </row>
    <row r="19" spans="10:56" x14ac:dyDescent="0.25">
      <c r="J19" s="3">
        <v>13</v>
      </c>
      <c r="K19" s="7">
        <v>-0.94584243051856776</v>
      </c>
      <c r="L19" s="7">
        <f t="shared" si="5"/>
        <v>0.34330035092371425</v>
      </c>
      <c r="M19" s="7">
        <f t="shared" ca="1" si="0"/>
        <v>0.25817070448461743</v>
      </c>
      <c r="N19" s="7">
        <f t="shared" si="1"/>
        <v>-0.94584243051856776</v>
      </c>
      <c r="O19" s="7">
        <v>6.1444396213250985E-2</v>
      </c>
      <c r="P19" s="7">
        <f t="shared" si="2"/>
        <v>0.39764823624233386</v>
      </c>
      <c r="Q19" s="7">
        <f t="shared" si="6"/>
        <v>0.33620384002908288</v>
      </c>
      <c r="R19" s="7">
        <f t="shared" si="3"/>
        <v>3.89401504794743E-2</v>
      </c>
      <c r="S19" s="7">
        <f t="shared" si="7"/>
        <v>-1.8003396587021347E-3</v>
      </c>
      <c r="T19" s="7">
        <f t="shared" si="8"/>
        <v>1</v>
      </c>
      <c r="U19" s="7">
        <f t="shared" si="4"/>
        <v>0.66895578934691691</v>
      </c>
      <c r="V19" s="7">
        <f t="shared" si="9"/>
        <v>5.7713582347698265E-2</v>
      </c>
      <c r="W19" s="7">
        <f t="shared" si="10"/>
        <v>0</v>
      </c>
      <c r="X19" s="8" t="s">
        <v>3</v>
      </c>
      <c r="Y19" s="7">
        <v>-0.94584243051856776</v>
      </c>
      <c r="Z19" s="7">
        <v>0.39764823624233386</v>
      </c>
      <c r="AC19" s="7">
        <f t="shared" si="11"/>
        <v>0.35870808576285956</v>
      </c>
      <c r="AD19" s="7">
        <f t="shared" si="12"/>
        <v>0.27130755310458304</v>
      </c>
      <c r="AE19" s="6" t="s">
        <v>3</v>
      </c>
      <c r="AF19" s="2" t="s">
        <v>32</v>
      </c>
      <c r="AG19" s="1">
        <v>9.3368182684519851</v>
      </c>
      <c r="AH19" s="1">
        <v>7.83567083243324</v>
      </c>
      <c r="AI19" s="1">
        <v>14.088852887732502</v>
      </c>
      <c r="AJ19" s="6" t="s">
        <v>3</v>
      </c>
      <c r="AK19" s="5">
        <f t="shared" si="13"/>
        <v>25.056872056503799</v>
      </c>
      <c r="AL19" s="7">
        <f t="shared" si="14"/>
        <v>3.89401504794743E-2</v>
      </c>
      <c r="AM19" s="7">
        <f t="shared" si="15"/>
        <v>0.66895578934691691</v>
      </c>
      <c r="BB19" s="3">
        <f t="shared" si="17"/>
        <v>0</v>
      </c>
      <c r="BC19" s="3">
        <f t="shared" ref="BC19:BC29" si="19">2*0.5*BB19^2</f>
        <v>0</v>
      </c>
      <c r="BD19" s="3">
        <f t="shared" si="16"/>
        <v>0</v>
      </c>
    </row>
    <row r="20" spans="10:56" x14ac:dyDescent="0.25">
      <c r="J20" s="3">
        <v>14</v>
      </c>
      <c r="K20" s="7">
        <v>-0.94250841773549543</v>
      </c>
      <c r="L20" s="7">
        <f t="shared" si="5"/>
        <v>0.37887221436905044</v>
      </c>
      <c r="M20" s="7">
        <f t="shared" ca="1" si="0"/>
        <v>0.56379032909277826</v>
      </c>
      <c r="N20" s="7">
        <f t="shared" si="1"/>
        <v>-0.94250841773549543</v>
      </c>
      <c r="O20" s="7">
        <v>0.39854352271391441</v>
      </c>
      <c r="P20" s="7">
        <f t="shared" si="2"/>
        <v>0.43850919457360066</v>
      </c>
      <c r="Q20" s="7">
        <f t="shared" si="6"/>
        <v>3.9965671859686247E-2</v>
      </c>
      <c r="R20" s="7">
        <f t="shared" si="3"/>
        <v>7.5609258093425391E-2</v>
      </c>
      <c r="S20" s="7">
        <f t="shared" si="7"/>
        <v>-2.5834741169639124E-2</v>
      </c>
      <c r="T20" s="7">
        <f t="shared" si="8"/>
        <v>1</v>
      </c>
      <c r="U20" s="7">
        <f t="shared" si="4"/>
        <v>0.70499654386472488</v>
      </c>
      <c r="V20" s="7">
        <f t="shared" si="9"/>
        <v>2.9113037009326995E-2</v>
      </c>
      <c r="W20" s="7">
        <f t="shared" si="10"/>
        <v>0</v>
      </c>
      <c r="X20" s="8" t="s">
        <v>3</v>
      </c>
      <c r="Y20" s="7">
        <v>-0.94250841773549543</v>
      </c>
      <c r="Z20" s="7">
        <v>0.43850919457360066</v>
      </c>
      <c r="AC20" s="7">
        <f t="shared" si="11"/>
        <v>0.36289993648017527</v>
      </c>
      <c r="AD20" s="7">
        <f t="shared" si="12"/>
        <v>0.26648734929112422</v>
      </c>
      <c r="AE20" s="6" t="s">
        <v>3</v>
      </c>
      <c r="AF20" s="2" t="s">
        <v>33</v>
      </c>
      <c r="AG20" s="1">
        <v>3.9872617282723986</v>
      </c>
      <c r="AH20" s="1">
        <v>4.2254423054025336</v>
      </c>
      <c r="AI20" s="1">
        <v>1.9216134404916798</v>
      </c>
      <c r="AJ20" s="6" t="s">
        <v>3</v>
      </c>
      <c r="AK20" s="5">
        <f t="shared" si="13"/>
        <v>26.732635406727763</v>
      </c>
      <c r="AL20" s="7">
        <f t="shared" si="14"/>
        <v>7.5609258093425391E-2</v>
      </c>
      <c r="AM20" s="7">
        <f t="shared" si="15"/>
        <v>0.70499654386472488</v>
      </c>
      <c r="BB20" s="3">
        <f t="shared" si="17"/>
        <v>0.02</v>
      </c>
      <c r="BC20" s="3">
        <f t="shared" si="19"/>
        <v>4.0000000000000002E-4</v>
      </c>
      <c r="BD20" s="3">
        <f t="shared" ref="BD20:BD29" si="20">2*0.9*BB20^2</f>
        <v>7.2000000000000005E-4</v>
      </c>
    </row>
    <row r="21" spans="10:56" x14ac:dyDescent="0.25">
      <c r="J21" s="3">
        <v>15</v>
      </c>
      <c r="K21" s="7">
        <v>-0.94004832683049599</v>
      </c>
      <c r="L21" s="7">
        <f t="shared" si="5"/>
        <v>0.40567430080311728</v>
      </c>
      <c r="M21" s="7">
        <f t="shared" ca="1" si="0"/>
        <v>0.43806450807590941</v>
      </c>
      <c r="N21" s="7">
        <f t="shared" si="1"/>
        <v>-0.94004832683049599</v>
      </c>
      <c r="O21" s="7">
        <v>0.55382981085262128</v>
      </c>
      <c r="P21" s="7">
        <f t="shared" si="2"/>
        <v>0.46856249167751163</v>
      </c>
      <c r="Q21" s="7">
        <f t="shared" si="6"/>
        <v>-8.5267319175109657E-2</v>
      </c>
      <c r="R21" s="7">
        <f t="shared" si="3"/>
        <v>0.10257985867696498</v>
      </c>
      <c r="S21" s="7">
        <f t="shared" si="7"/>
        <v>-3.6099996174052511E-2</v>
      </c>
      <c r="T21" s="7">
        <f t="shared" si="8"/>
        <v>1</v>
      </c>
      <c r="U21" s="7">
        <f t="shared" si="4"/>
        <v>0.73210572067754465</v>
      </c>
      <c r="V21" s="7">
        <f t="shared" si="9"/>
        <v>1.693621143336772E-2</v>
      </c>
      <c r="W21" s="7">
        <f t="shared" si="10"/>
        <v>0</v>
      </c>
      <c r="X21" s="8" t="s">
        <v>3</v>
      </c>
      <c r="Y21" s="7">
        <v>-0.94004832683049599</v>
      </c>
      <c r="Z21" s="7">
        <v>0.46856249167751163</v>
      </c>
      <c r="AC21" s="7">
        <f t="shared" si="11"/>
        <v>0.36598263300054668</v>
      </c>
      <c r="AD21" s="7">
        <f t="shared" si="12"/>
        <v>0.26354322900003302</v>
      </c>
      <c r="AE21" s="6" t="s">
        <v>3</v>
      </c>
      <c r="AF21" s="2" t="s">
        <v>38</v>
      </c>
      <c r="AG21" s="1">
        <v>1.0416196295039177</v>
      </c>
      <c r="AH21" s="1">
        <v>1.7102112182247644</v>
      </c>
      <c r="AI21" s="1">
        <v>1.5866924767707216</v>
      </c>
      <c r="AJ21" s="6" t="s">
        <v>3</v>
      </c>
      <c r="AK21" s="5">
        <f t="shared" si="13"/>
        <v>27.969142416463466</v>
      </c>
      <c r="AL21" s="7">
        <f t="shared" si="14"/>
        <v>0.10257985867696498</v>
      </c>
      <c r="AM21" s="7">
        <f t="shared" si="15"/>
        <v>0.73210572067754465</v>
      </c>
      <c r="BB21" s="3">
        <f t="shared" si="17"/>
        <v>0.04</v>
      </c>
      <c r="BC21" s="3">
        <f t="shared" si="19"/>
        <v>1.6000000000000001E-3</v>
      </c>
      <c r="BD21" s="3">
        <f t="shared" si="20"/>
        <v>2.8800000000000002E-3</v>
      </c>
    </row>
    <row r="22" spans="10:56" x14ac:dyDescent="0.25">
      <c r="J22" s="3">
        <v>16</v>
      </c>
      <c r="K22" s="7">
        <v>-0.93570579262225606</v>
      </c>
      <c r="L22" s="7">
        <f t="shared" si="5"/>
        <v>0.45398634089917589</v>
      </c>
      <c r="M22" s="7">
        <f t="shared" ca="1" si="0"/>
        <v>0.67490728292171065</v>
      </c>
      <c r="N22" s="7">
        <f t="shared" si="1"/>
        <v>-0.93570579262225606</v>
      </c>
      <c r="O22" s="7">
        <v>5.9706522700360809E-2</v>
      </c>
      <c r="P22" s="7">
        <f t="shared" si="2"/>
        <v>0.52138326010907632</v>
      </c>
      <c r="Q22" s="7">
        <f t="shared" si="6"/>
        <v>0.46167673740871551</v>
      </c>
      <c r="R22" s="7">
        <f t="shared" si="3"/>
        <v>0.14999195707538793</v>
      </c>
      <c r="S22" s="7">
        <f t="shared" si="7"/>
        <v>8.3062599625024949E-2</v>
      </c>
      <c r="T22" s="7">
        <f t="shared" si="8"/>
        <v>0</v>
      </c>
      <c r="U22" s="7">
        <f t="shared" si="4"/>
        <v>0.7809618136397336</v>
      </c>
      <c r="V22" s="7">
        <f t="shared" si="9"/>
        <v>6.8519252639240413E-2</v>
      </c>
      <c r="W22" s="7">
        <f t="shared" si="10"/>
        <v>0</v>
      </c>
      <c r="X22" s="8" t="s">
        <v>3</v>
      </c>
      <c r="Y22" s="7">
        <v>-0.93570579262225606</v>
      </c>
      <c r="Z22" s="7">
        <v>0.52138326010907632</v>
      </c>
      <c r="AC22" s="7">
        <f t="shared" si="11"/>
        <v>0.37139130303368839</v>
      </c>
      <c r="AD22" s="7">
        <f t="shared" si="12"/>
        <v>0.25957855353065729</v>
      </c>
      <c r="AE22" s="6" t="s">
        <v>3</v>
      </c>
      <c r="AF22" s="2" t="s">
        <v>34</v>
      </c>
      <c r="AG22" s="1">
        <v>-2.3809373641980951</v>
      </c>
      <c r="AH22" s="1">
        <v>-3.4572589018303983</v>
      </c>
      <c r="AI22" s="1">
        <v>-3.7938354393043241</v>
      </c>
      <c r="AJ22" s="6" t="s">
        <v>3</v>
      </c>
      <c r="AK22" s="5">
        <f t="shared" si="13"/>
        <v>30.151815413462728</v>
      </c>
      <c r="AL22" s="7">
        <f t="shared" si="14"/>
        <v>0.14999195707538793</v>
      </c>
      <c r="AM22" s="7">
        <f t="shared" si="15"/>
        <v>0.7809618136397336</v>
      </c>
      <c r="BB22" s="3">
        <f t="shared" si="17"/>
        <v>0.06</v>
      </c>
      <c r="BC22" s="3">
        <f t="shared" si="19"/>
        <v>3.5999999999999999E-3</v>
      </c>
      <c r="BD22" s="3">
        <f t="shared" si="20"/>
        <v>6.4799999999999996E-3</v>
      </c>
    </row>
    <row r="23" spans="10:56" x14ac:dyDescent="0.25">
      <c r="J23" s="3">
        <v>17</v>
      </c>
      <c r="K23" s="7">
        <v>-0.93550746334227797</v>
      </c>
      <c r="L23" s="7">
        <f t="shared" si="5"/>
        <v>0.45622032915585015</v>
      </c>
      <c r="M23" s="7">
        <f t="shared" ca="1" si="0"/>
        <v>0.47399724228718565</v>
      </c>
      <c r="N23" s="7">
        <f t="shared" si="1"/>
        <v>-0.93550746334227797</v>
      </c>
      <c r="O23" s="7">
        <v>0.53652197225817955</v>
      </c>
      <c r="P23" s="7">
        <f t="shared" si="2"/>
        <v>0.52378808015472578</v>
      </c>
      <c r="Q23" s="7">
        <f t="shared" si="6"/>
        <v>-1.273389210345377E-2</v>
      </c>
      <c r="R23" s="7">
        <f t="shared" si="3"/>
        <v>0.15215099608153726</v>
      </c>
      <c r="S23" s="7">
        <f t="shared" si="7"/>
        <v>-3.0749678094131382E-2</v>
      </c>
      <c r="T23" s="7">
        <f t="shared" si="8"/>
        <v>1</v>
      </c>
      <c r="U23" s="7">
        <f t="shared" si="4"/>
        <v>0.78322226585312238</v>
      </c>
      <c r="V23" s="7">
        <f t="shared" si="9"/>
        <v>2.3436527891519569E-2</v>
      </c>
      <c r="W23" s="7">
        <f t="shared" si="10"/>
        <v>0</v>
      </c>
      <c r="X23" s="8" t="s">
        <v>3</v>
      </c>
      <c r="Y23" s="7">
        <v>-0.93550746334227797</v>
      </c>
      <c r="Z23" s="7">
        <v>0.52378808015472578</v>
      </c>
      <c r="AC23" s="7">
        <f t="shared" si="11"/>
        <v>0.37163708407318852</v>
      </c>
      <c r="AD23" s="7">
        <f t="shared" si="12"/>
        <v>0.2594341856983966</v>
      </c>
      <c r="AE23" s="6" t="s">
        <v>3</v>
      </c>
      <c r="AF23" s="2" t="s">
        <v>35</v>
      </c>
      <c r="AG23" s="1">
        <v>3.4307722171973247</v>
      </c>
      <c r="AH23" s="1">
        <v>4.6657084601136871</v>
      </c>
      <c r="AI23" s="1">
        <v>2.5443412637529366</v>
      </c>
      <c r="AJ23" s="6" t="s">
        <v>3</v>
      </c>
      <c r="AK23" s="5">
        <f t="shared" si="13"/>
        <v>30.251500975663042</v>
      </c>
      <c r="AL23" s="7">
        <f t="shared" si="14"/>
        <v>0.15215099608153726</v>
      </c>
      <c r="AM23" s="7">
        <f t="shared" si="15"/>
        <v>0.78322226585312238</v>
      </c>
      <c r="BB23" s="3">
        <f t="shared" si="17"/>
        <v>0.08</v>
      </c>
      <c r="BC23" s="3">
        <f t="shared" si="19"/>
        <v>6.4000000000000003E-3</v>
      </c>
      <c r="BD23" s="3">
        <f t="shared" si="20"/>
        <v>1.1520000000000001E-2</v>
      </c>
    </row>
    <row r="24" spans="10:56" x14ac:dyDescent="0.25">
      <c r="J24" s="3">
        <v>18</v>
      </c>
      <c r="K24" s="7">
        <v>-0.93482258097911153</v>
      </c>
      <c r="L24" s="7">
        <f t="shared" si="5"/>
        <v>0.46395187816296857</v>
      </c>
      <c r="M24" s="7">
        <f t="shared" ca="1" si="0"/>
        <v>0.57377444936316013</v>
      </c>
      <c r="N24" s="7">
        <f t="shared" si="1"/>
        <v>-0.93482258097911153</v>
      </c>
      <c r="O24" s="7">
        <v>0.68262211936567929</v>
      </c>
      <c r="P24" s="7">
        <f t="shared" si="2"/>
        <v>0.53208716259068323</v>
      </c>
      <c r="Q24" s="7">
        <f t="shared" si="6"/>
        <v>-0.15053495677499606</v>
      </c>
      <c r="R24" s="7">
        <f t="shared" si="3"/>
        <v>0.15960228407230742</v>
      </c>
      <c r="S24" s="7">
        <f t="shared" si="7"/>
        <v>-4.1841586823469758E-2</v>
      </c>
      <c r="T24" s="7">
        <f t="shared" si="8"/>
        <v>1</v>
      </c>
      <c r="U24" s="7">
        <f t="shared" si="4"/>
        <v>0.79104700078748402</v>
      </c>
      <c r="V24" s="7">
        <f t="shared" si="9"/>
        <v>1.030036373507145E-2</v>
      </c>
      <c r="W24" s="7">
        <f t="shared" si="10"/>
        <v>0</v>
      </c>
      <c r="X24" s="8" t="s">
        <v>3</v>
      </c>
      <c r="Y24" s="7">
        <v>-0.93482258097911153</v>
      </c>
      <c r="Z24" s="7">
        <v>0.53208716259068323</v>
      </c>
      <c r="AC24" s="7">
        <f t="shared" si="11"/>
        <v>0.37248487851837581</v>
      </c>
      <c r="AD24" s="7">
        <f t="shared" si="12"/>
        <v>0.2589598381968008</v>
      </c>
      <c r="AE24" s="6" t="s">
        <v>3</v>
      </c>
      <c r="AF24" s="2" t="s">
        <v>36</v>
      </c>
      <c r="AG24" s="1">
        <v>3.7603581649074833</v>
      </c>
      <c r="AH24" s="1">
        <v>2.4379409381582535</v>
      </c>
      <c r="AI24" s="1">
        <v>6.670929814307768</v>
      </c>
      <c r="AJ24" s="6" t="s">
        <v>3</v>
      </c>
      <c r="AK24" s="5">
        <f t="shared" si="13"/>
        <v>30.595741036539916</v>
      </c>
      <c r="AL24" s="7">
        <f t="shared" si="14"/>
        <v>0.15960228407230742</v>
      </c>
      <c r="AM24" s="7">
        <f t="shared" si="15"/>
        <v>0.79104700078748402</v>
      </c>
      <c r="BB24" s="3">
        <f t="shared" si="17"/>
        <v>0.1</v>
      </c>
      <c r="BC24" s="3">
        <f t="shared" si="19"/>
        <v>1.0000000000000002E-2</v>
      </c>
      <c r="BD24" s="3">
        <f t="shared" si="20"/>
        <v>1.8000000000000006E-2</v>
      </c>
    </row>
    <row r="25" spans="10:56" x14ac:dyDescent="0.25">
      <c r="J25" s="3">
        <v>19</v>
      </c>
      <c r="K25" s="7">
        <v>-0.93349182562365618</v>
      </c>
      <c r="L25" s="7">
        <f t="shared" si="5"/>
        <v>0.47904732471218281</v>
      </c>
      <c r="M25" s="7">
        <f t="shared" ca="1" si="0"/>
        <v>0.55194523247892757</v>
      </c>
      <c r="N25" s="7">
        <f t="shared" si="1"/>
        <v>-0.93349182562365618</v>
      </c>
      <c r="O25" s="7">
        <v>0.65302641216787205</v>
      </c>
      <c r="P25" s="7">
        <f t="shared" si="2"/>
        <v>0.54818819816051878</v>
      </c>
      <c r="Q25" s="7">
        <f t="shared" si="6"/>
        <v>-0.10483821400735327</v>
      </c>
      <c r="R25" s="7">
        <f t="shared" si="3"/>
        <v>0.17406045737052411</v>
      </c>
      <c r="S25" s="7">
        <f t="shared" si="7"/>
        <v>-3.8317276383787839E-2</v>
      </c>
      <c r="T25" s="7">
        <f t="shared" si="8"/>
        <v>1</v>
      </c>
      <c r="U25" s="7">
        <f t="shared" si="4"/>
        <v>0.80633272436047443</v>
      </c>
      <c r="V25" s="7">
        <f t="shared" si="9"/>
        <v>1.4564099658297226E-2</v>
      </c>
      <c r="W25" s="7">
        <f t="shared" si="10"/>
        <v>0</v>
      </c>
      <c r="X25" s="8" t="s">
        <v>3</v>
      </c>
      <c r="Y25" s="7">
        <v>-0.93349182562365618</v>
      </c>
      <c r="Z25" s="7">
        <v>0.54818819816051878</v>
      </c>
      <c r="AC25" s="7">
        <f t="shared" si="11"/>
        <v>0.37412774078999467</v>
      </c>
      <c r="AD25" s="7">
        <f t="shared" si="12"/>
        <v>0.25814452619995565</v>
      </c>
      <c r="AE25" s="6" t="s">
        <v>3</v>
      </c>
      <c r="AF25" s="2" t="s">
        <v>37</v>
      </c>
      <c r="AG25" s="1">
        <v>3.9899571624573476</v>
      </c>
      <c r="AH25" s="1">
        <v>2.6322134187833086</v>
      </c>
      <c r="AI25" s="1">
        <v>7.4330462626003015</v>
      </c>
      <c r="AJ25" s="6" t="s">
        <v>3</v>
      </c>
      <c r="AK25" s="5">
        <f t="shared" si="13"/>
        <v>31.264614012705096</v>
      </c>
      <c r="AL25" s="7">
        <f t="shared" si="14"/>
        <v>0.17406045737052411</v>
      </c>
      <c r="AM25" s="7">
        <f t="shared" si="15"/>
        <v>0.80633272436047443</v>
      </c>
      <c r="BB25" s="3">
        <f t="shared" si="17"/>
        <v>0.12000000000000001</v>
      </c>
      <c r="BC25" s="3">
        <f t="shared" si="19"/>
        <v>1.4400000000000003E-2</v>
      </c>
      <c r="BD25" s="3">
        <f t="shared" si="20"/>
        <v>2.5920000000000006E-2</v>
      </c>
    </row>
    <row r="26" spans="10:56" x14ac:dyDescent="0.25">
      <c r="J26" s="3">
        <v>20</v>
      </c>
      <c r="K26" s="7">
        <v>-0.9320361516103155</v>
      </c>
      <c r="L26" s="7">
        <f t="shared" si="5"/>
        <v>0.49566342158715426</v>
      </c>
      <c r="M26" s="7">
        <f t="shared" ca="1" si="0"/>
        <v>0.58633304640246697</v>
      </c>
      <c r="N26" s="7">
        <f t="shared" si="1"/>
        <v>-0.9320361516103155</v>
      </c>
      <c r="O26" s="7">
        <v>0.81900475017762253</v>
      </c>
      <c r="P26" s="7">
        <f t="shared" si="2"/>
        <v>0.56576237681408059</v>
      </c>
      <c r="Q26" s="7">
        <f t="shared" si="6"/>
        <v>-0.25324237336354194</v>
      </c>
      <c r="R26" s="7">
        <f t="shared" si="3"/>
        <v>0.18984478918368936</v>
      </c>
      <c r="S26" s="7">
        <f t="shared" si="7"/>
        <v>-5.0332796879514648E-2</v>
      </c>
      <c r="T26" s="7">
        <f t="shared" si="8"/>
        <v>1</v>
      </c>
      <c r="U26" s="7">
        <f t="shared" si="4"/>
        <v>0.82317368315741501</v>
      </c>
      <c r="V26" s="7">
        <f t="shared" si="9"/>
        <v>3.9604863308028592E-4</v>
      </c>
      <c r="W26" s="7">
        <f t="shared" si="10"/>
        <v>0</v>
      </c>
      <c r="X26" s="8" t="s">
        <v>3</v>
      </c>
      <c r="Y26" s="7">
        <v>-0.9320361516103155</v>
      </c>
      <c r="Z26" s="7">
        <v>0.56576237681408059</v>
      </c>
      <c r="AC26" s="7">
        <f t="shared" si="11"/>
        <v>0.37591758763039124</v>
      </c>
      <c r="AD26" s="7">
        <f t="shared" si="12"/>
        <v>0.25741130634333442</v>
      </c>
      <c r="AE26" s="6" t="s">
        <v>3</v>
      </c>
      <c r="AF26" s="6" t="s">
        <v>3</v>
      </c>
      <c r="AG26" s="6" t="s">
        <v>3</v>
      </c>
      <c r="AH26" s="6" t="s">
        <v>3</v>
      </c>
      <c r="AI26" s="6" t="s">
        <v>3</v>
      </c>
      <c r="AJ26" s="6" t="s">
        <v>3</v>
      </c>
      <c r="AK26" s="5">
        <f t="shared" si="13"/>
        <v>31.99627442319154</v>
      </c>
      <c r="AL26" s="7">
        <f t="shared" si="14"/>
        <v>0.18984478918368936</v>
      </c>
      <c r="AM26" s="7">
        <f t="shared" si="15"/>
        <v>0.82317368315741501</v>
      </c>
      <c r="BB26" s="3">
        <f t="shared" si="17"/>
        <v>0.14000000000000001</v>
      </c>
      <c r="BC26" s="3">
        <f t="shared" si="19"/>
        <v>1.9600000000000003E-2</v>
      </c>
      <c r="BD26" s="3">
        <f t="shared" si="20"/>
        <v>3.5280000000000006E-2</v>
      </c>
    </row>
    <row r="27" spans="10:56" x14ac:dyDescent="0.25">
      <c r="J27" s="3">
        <v>21</v>
      </c>
      <c r="K27" s="7">
        <v>-0.92216007715921622</v>
      </c>
      <c r="L27" s="7">
        <f t="shared" si="5"/>
        <v>0.61064591630812848</v>
      </c>
      <c r="M27" s="7">
        <f t="shared" ca="1" si="0"/>
        <v>0.74449229406747053</v>
      </c>
      <c r="N27" s="7">
        <f t="shared" si="1"/>
        <v>-0.92216007715921622</v>
      </c>
      <c r="O27" s="7">
        <v>0.73569139871017775</v>
      </c>
      <c r="P27" s="7">
        <f t="shared" si="2"/>
        <v>0.68380576190229103</v>
      </c>
      <c r="Q27" s="7">
        <f t="shared" si="6"/>
        <v>-5.1885636807886715E-2</v>
      </c>
      <c r="R27" s="7">
        <f t="shared" si="3"/>
        <v>0.29599586766944846</v>
      </c>
      <c r="S27" s="7">
        <f t="shared" si="7"/>
        <v>-3.5175642483258343E-2</v>
      </c>
      <c r="T27" s="7">
        <f t="shared" si="8"/>
        <v>1</v>
      </c>
      <c r="U27" s="7">
        <f t="shared" si="4"/>
        <v>0.94037581642228374</v>
      </c>
      <c r="V27" s="7">
        <f t="shared" si="9"/>
        <v>1.9445019682650069E-2</v>
      </c>
      <c r="W27" s="7">
        <f t="shared" si="10"/>
        <v>0</v>
      </c>
      <c r="X27" s="8" t="s">
        <v>3</v>
      </c>
      <c r="Y27" s="7">
        <v>-0.92216007715921622</v>
      </c>
      <c r="Z27" s="7">
        <v>0.68380576190229103</v>
      </c>
      <c r="AC27" s="7">
        <f t="shared" si="11"/>
        <v>0.38780989423284257</v>
      </c>
      <c r="AD27" s="7">
        <f t="shared" si="12"/>
        <v>0.25657005451999271</v>
      </c>
      <c r="AE27" s="6" t="s">
        <v>3</v>
      </c>
      <c r="AF27" s="6" t="s">
        <v>3</v>
      </c>
      <c r="AG27" s="6" t="s">
        <v>3</v>
      </c>
      <c r="AH27" s="6" t="s">
        <v>3</v>
      </c>
      <c r="AI27" s="6" t="s">
        <v>3</v>
      </c>
      <c r="AJ27" s="6" t="s">
        <v>3</v>
      </c>
      <c r="AK27" s="5">
        <f t="shared" si="13"/>
        <v>36.960251674047932</v>
      </c>
      <c r="AL27" s="7">
        <f t="shared" si="14"/>
        <v>0.29599586766944846</v>
      </c>
      <c r="AM27" s="7">
        <f t="shared" si="15"/>
        <v>0.94037581642228374</v>
      </c>
      <c r="BB27" s="3">
        <f t="shared" si="17"/>
        <v>0.16</v>
      </c>
      <c r="BC27" s="3">
        <f t="shared" si="19"/>
        <v>2.5600000000000001E-2</v>
      </c>
      <c r="BD27" s="3">
        <f t="shared" si="20"/>
        <v>4.6080000000000003E-2</v>
      </c>
    </row>
    <row r="28" spans="10:56" x14ac:dyDescent="0.25">
      <c r="J28" s="3">
        <v>22</v>
      </c>
      <c r="K28" s="7">
        <v>-0.9213429530640409</v>
      </c>
      <c r="L28" s="7">
        <f t="shared" si="5"/>
        <v>0.62029138854153365</v>
      </c>
      <c r="M28" s="7">
        <f t="shared" ca="1" si="0"/>
        <v>0.3850834298209812</v>
      </c>
      <c r="N28" s="7">
        <f t="shared" si="1"/>
        <v>-0.9213429530640409</v>
      </c>
      <c r="O28" s="7">
        <v>0.55088902766235281</v>
      </c>
      <c r="P28" s="7">
        <f t="shared" si="2"/>
        <v>0.69346955309120495</v>
      </c>
      <c r="Q28" s="7">
        <f t="shared" si="6"/>
        <v>0.14258052542885213</v>
      </c>
      <c r="R28" s="7">
        <f t="shared" si="3"/>
        <v>0.30469908578553168</v>
      </c>
      <c r="S28" s="7">
        <f t="shared" si="7"/>
        <v>-1.9695195350145692E-2</v>
      </c>
      <c r="T28" s="7">
        <f t="shared" si="8"/>
        <v>1</v>
      </c>
      <c r="U28" s="7">
        <f t="shared" si="4"/>
        <v>0.95027303186388112</v>
      </c>
      <c r="V28" s="7">
        <f t="shared" si="9"/>
        <v>3.7941480399145189E-2</v>
      </c>
      <c r="W28" s="7">
        <f t="shared" si="10"/>
        <v>0</v>
      </c>
      <c r="X28" s="8" t="s">
        <v>3</v>
      </c>
      <c r="Y28" s="7">
        <v>-0.9213429530640409</v>
      </c>
      <c r="Z28" s="7">
        <v>0.69346955309120495</v>
      </c>
      <c r="AC28" s="7">
        <f t="shared" si="11"/>
        <v>0.38877046730567327</v>
      </c>
      <c r="AD28" s="7">
        <f t="shared" si="12"/>
        <v>0.25680347877267617</v>
      </c>
      <c r="AE28" s="6" t="s">
        <v>3</v>
      </c>
      <c r="AF28" s="6" t="s">
        <v>3</v>
      </c>
      <c r="AG28" s="6" t="s">
        <v>3</v>
      </c>
      <c r="AH28" s="6" t="s">
        <v>3</v>
      </c>
      <c r="AI28" s="6" t="s">
        <v>3</v>
      </c>
      <c r="AJ28" s="6" t="s">
        <v>3</v>
      </c>
      <c r="AK28" s="5">
        <f t="shared" si="13"/>
        <v>37.370959940744463</v>
      </c>
      <c r="AL28" s="7">
        <f t="shared" si="14"/>
        <v>0.30469908578553168</v>
      </c>
      <c r="AM28" s="7">
        <f t="shared" si="15"/>
        <v>0.95027303186388112</v>
      </c>
      <c r="BB28" s="3">
        <f t="shared" si="17"/>
        <v>0.18</v>
      </c>
      <c r="BC28" s="3">
        <f t="shared" si="19"/>
        <v>3.2399999999999998E-2</v>
      </c>
      <c r="BD28" s="3">
        <f t="shared" si="20"/>
        <v>5.8319999999999997E-2</v>
      </c>
    </row>
    <row r="29" spans="10:56" x14ac:dyDescent="0.25">
      <c r="J29" s="3">
        <v>23</v>
      </c>
      <c r="K29" s="7">
        <v>-0.91812831488684821</v>
      </c>
      <c r="L29" s="7">
        <f t="shared" si="5"/>
        <v>0.65836330344381999</v>
      </c>
      <c r="M29" s="7">
        <f t="shared" ca="1" si="0"/>
        <v>0.936103804979737</v>
      </c>
      <c r="N29" s="7">
        <f t="shared" si="1"/>
        <v>-0.91812831488684821</v>
      </c>
      <c r="O29" s="7">
        <v>0.65602101119710199</v>
      </c>
      <c r="P29" s="7">
        <f t="shared" si="2"/>
        <v>0.73131823146527863</v>
      </c>
      <c r="Q29" s="7">
        <f t="shared" si="6"/>
        <v>7.5297220268176646E-2</v>
      </c>
      <c r="R29" s="7">
        <f t="shared" si="3"/>
        <v>0.33880968722806554</v>
      </c>
      <c r="S29" s="7">
        <f t="shared" si="7"/>
        <v>-2.5376905917522917E-2</v>
      </c>
      <c r="T29" s="7">
        <f t="shared" si="8"/>
        <v>1</v>
      </c>
      <c r="U29" s="7">
        <f t="shared" si="4"/>
        <v>0.98945347673525363</v>
      </c>
      <c r="V29" s="7">
        <f t="shared" si="9"/>
        <v>3.1676084226124404E-2</v>
      </c>
      <c r="W29" s="7">
        <f t="shared" si="10"/>
        <v>0</v>
      </c>
      <c r="X29" s="8" t="s">
        <v>3</v>
      </c>
      <c r="Y29" s="7">
        <v>-0.91812831488684821</v>
      </c>
      <c r="Z29" s="7">
        <v>0.73131823146527863</v>
      </c>
      <c r="AC29" s="7">
        <f t="shared" si="11"/>
        <v>0.3925085442372131</v>
      </c>
      <c r="AD29" s="7">
        <f t="shared" si="12"/>
        <v>0.258135245269975</v>
      </c>
      <c r="AE29" s="6" t="s">
        <v>3</v>
      </c>
      <c r="AF29" s="6" t="s">
        <v>3</v>
      </c>
      <c r="AG29" s="6" t="s">
        <v>3</v>
      </c>
      <c r="AH29" s="6" t="s">
        <v>3</v>
      </c>
      <c r="AI29" s="6" t="s">
        <v>3</v>
      </c>
      <c r="AJ29" s="6" t="s">
        <v>3</v>
      </c>
      <c r="AK29" s="5">
        <f t="shared" si="13"/>
        <v>38.986722444392136</v>
      </c>
      <c r="AL29" s="7">
        <f t="shared" si="14"/>
        <v>0.33880968722806554</v>
      </c>
      <c r="AM29" s="7">
        <f t="shared" si="15"/>
        <v>0.98945347673525363</v>
      </c>
      <c r="BB29" s="3">
        <f t="shared" si="17"/>
        <v>0.19999999999999998</v>
      </c>
      <c r="BC29" s="3">
        <f t="shared" si="19"/>
        <v>3.9999999999999994E-2</v>
      </c>
      <c r="BD29" s="3">
        <f t="shared" si="20"/>
        <v>7.1999999999999995E-2</v>
      </c>
    </row>
    <row r="30" spans="10:56" x14ac:dyDescent="0.25">
      <c r="J30" s="3">
        <v>24</v>
      </c>
      <c r="K30" s="7">
        <v>-0.91268822296765295</v>
      </c>
      <c r="L30" s="7">
        <f t="shared" si="5"/>
        <v>0.72308695498433906</v>
      </c>
      <c r="M30" s="7">
        <f t="shared" ca="1" si="0"/>
        <v>0.57930009000250593</v>
      </c>
      <c r="N30" s="7">
        <f t="shared" si="1"/>
        <v>-0.91268822296765295</v>
      </c>
      <c r="O30" s="7">
        <v>0.52921163514817859</v>
      </c>
      <c r="P30" s="7">
        <f t="shared" si="2"/>
        <v>0.7947113699352456</v>
      </c>
      <c r="Q30" s="7">
        <f t="shared" si="6"/>
        <v>0.26549973478706701</v>
      </c>
      <c r="R30" s="7">
        <f t="shared" si="3"/>
        <v>0.3960403419021753</v>
      </c>
      <c r="S30" s="7">
        <f t="shared" si="7"/>
        <v>-1.0653703459680265E-2</v>
      </c>
      <c r="T30" s="7">
        <f t="shared" si="8"/>
        <v>1</v>
      </c>
      <c r="U30" s="7">
        <f t="shared" si="4"/>
        <v>1.0565059586039791</v>
      </c>
      <c r="V30" s="7">
        <f t="shared" si="9"/>
        <v>5.009296072830105E-2</v>
      </c>
      <c r="W30" s="7">
        <f t="shared" si="10"/>
        <v>0</v>
      </c>
      <c r="X30" s="8" t="s">
        <v>3</v>
      </c>
      <c r="Y30" s="7">
        <v>-0.91268822296765295</v>
      </c>
      <c r="Z30" s="7">
        <v>0.7947113699352456</v>
      </c>
      <c r="AC30" s="7">
        <f t="shared" si="11"/>
        <v>0.39867102803307031</v>
      </c>
      <c r="AD30" s="7">
        <f t="shared" si="12"/>
        <v>0.26179458866873351</v>
      </c>
      <c r="AE30" s="6" t="s">
        <v>3</v>
      </c>
      <c r="AF30" s="6" t="s">
        <v>3</v>
      </c>
      <c r="AG30" s="6" t="s">
        <v>3</v>
      </c>
      <c r="AH30" s="6" t="s">
        <v>3</v>
      </c>
      <c r="AI30" s="6" t="s">
        <v>3</v>
      </c>
      <c r="AJ30" s="6" t="s">
        <v>3</v>
      </c>
      <c r="AK30" s="5">
        <f t="shared" si="13"/>
        <v>41.721057089514943</v>
      </c>
      <c r="AL30" s="7">
        <f t="shared" si="14"/>
        <v>0.3960403419021753</v>
      </c>
      <c r="AM30" s="7">
        <f t="shared" si="15"/>
        <v>1.0565059586039791</v>
      </c>
      <c r="BA30" s="3"/>
    </row>
    <row r="31" spans="10:56" x14ac:dyDescent="0.25">
      <c r="J31" s="3">
        <v>25</v>
      </c>
      <c r="K31" s="7">
        <v>-0.90941232492293933</v>
      </c>
      <c r="L31" s="7">
        <f t="shared" si="5"/>
        <v>0.76212292733059428</v>
      </c>
      <c r="M31" s="7">
        <f t="shared" ca="1" si="0"/>
        <v>0.47943145048871733</v>
      </c>
      <c r="N31" s="7">
        <f t="shared" si="1"/>
        <v>-0.90941232492293933</v>
      </c>
      <c r="O31" s="7">
        <v>0.86606660725251894</v>
      </c>
      <c r="P31" s="7">
        <f t="shared" si="2"/>
        <v>0.83245452890329008</v>
      </c>
      <c r="Q31" s="7">
        <f t="shared" si="6"/>
        <v>-3.3612078349228858E-2</v>
      </c>
      <c r="R31" s="7">
        <f t="shared" si="3"/>
        <v>0.43018268656335867</v>
      </c>
      <c r="S31" s="7">
        <f t="shared" si="7"/>
        <v>-3.4870713655132821E-2</v>
      </c>
      <c r="T31" s="7">
        <f t="shared" si="8"/>
        <v>1</v>
      </c>
      <c r="U31" s="7">
        <f t="shared" si="4"/>
        <v>1.0972284207578851</v>
      </c>
      <c r="V31" s="7">
        <f t="shared" si="9"/>
        <v>2.1960372283009781E-2</v>
      </c>
      <c r="W31" s="7">
        <f t="shared" si="10"/>
        <v>0</v>
      </c>
      <c r="X31" s="8" t="s">
        <v>3</v>
      </c>
      <c r="Y31" s="7">
        <v>-0.90941232492293933</v>
      </c>
      <c r="Z31" s="7">
        <v>0.83245452890329008</v>
      </c>
      <c r="AC31" s="7">
        <f t="shared" si="11"/>
        <v>0.40227184233993141</v>
      </c>
      <c r="AD31" s="7">
        <f t="shared" si="12"/>
        <v>0.26477389185459499</v>
      </c>
      <c r="AE31" s="6" t="s">
        <v>3</v>
      </c>
      <c r="AF31" s="6" t="s">
        <v>3</v>
      </c>
      <c r="AG31" s="6" t="s">
        <v>3</v>
      </c>
      <c r="AH31" s="6" t="s">
        <v>3</v>
      </c>
      <c r="AI31" s="6" t="s">
        <v>3</v>
      </c>
      <c r="AJ31" s="6" t="s">
        <v>3</v>
      </c>
      <c r="AK31" s="5">
        <f t="shared" si="13"/>
        <v>43.367610429164316</v>
      </c>
      <c r="AL31" s="7">
        <f t="shared" si="14"/>
        <v>0.43018268656335867</v>
      </c>
      <c r="AM31" s="7">
        <f t="shared" si="15"/>
        <v>1.0972284207578851</v>
      </c>
      <c r="BA31" s="3"/>
    </row>
    <row r="32" spans="10:56" x14ac:dyDescent="0.25">
      <c r="J32" s="3">
        <v>26</v>
      </c>
      <c r="K32" s="7">
        <v>-0.89188450104523675</v>
      </c>
      <c r="L32" s="7">
        <f t="shared" si="5"/>
        <v>0.96879390216923056</v>
      </c>
      <c r="M32" s="7">
        <f t="shared" ca="1" si="0"/>
        <v>0.73511838054206224</v>
      </c>
      <c r="N32" s="7">
        <f t="shared" si="1"/>
        <v>-0.89188450104523675</v>
      </c>
      <c r="O32" s="7">
        <v>0.81636314904877305</v>
      </c>
      <c r="P32" s="7">
        <f t="shared" si="2"/>
        <v>1.0280153260022653</v>
      </c>
      <c r="Q32" s="7">
        <f t="shared" si="6"/>
        <v>0.21165217695349225</v>
      </c>
      <c r="R32" s="7">
        <f t="shared" si="3"/>
        <v>0.60816687564785843</v>
      </c>
      <c r="S32" s="7">
        <f t="shared" si="7"/>
        <v>-1.6655701872073169E-2</v>
      </c>
      <c r="T32" s="7">
        <f t="shared" si="8"/>
        <v>1</v>
      </c>
      <c r="U32" s="7">
        <f t="shared" si="4"/>
        <v>1.3163370263046188</v>
      </c>
      <c r="V32" s="7">
        <f t="shared" si="9"/>
        <v>4.7497518339305343E-2</v>
      </c>
      <c r="W32" s="7">
        <f t="shared" si="10"/>
        <v>0</v>
      </c>
      <c r="X32" s="8" t="s">
        <v>3</v>
      </c>
      <c r="Y32" s="7">
        <v>-0.89188450104523675</v>
      </c>
      <c r="Z32" s="7">
        <v>1.0280153260022653</v>
      </c>
      <c r="AC32" s="7">
        <f t="shared" si="11"/>
        <v>0.41984845035440688</v>
      </c>
      <c r="AD32" s="7">
        <f t="shared" si="12"/>
        <v>0.28832170030235349</v>
      </c>
      <c r="AE32" s="6" t="s">
        <v>3</v>
      </c>
      <c r="AF32" s="6" t="s">
        <v>3</v>
      </c>
      <c r="AG32" s="6" t="s">
        <v>3</v>
      </c>
      <c r="AH32" s="6" t="s">
        <v>3</v>
      </c>
      <c r="AI32" s="6" t="s">
        <v>3</v>
      </c>
      <c r="AJ32" s="6" t="s">
        <v>3</v>
      </c>
      <c r="AK32" s="5">
        <f t="shared" si="13"/>
        <v>52.177560112790736</v>
      </c>
      <c r="AL32" s="7">
        <f t="shared" si="14"/>
        <v>0.60816687564785843</v>
      </c>
      <c r="AM32" s="7">
        <f t="shared" si="15"/>
        <v>1.3163370263046188</v>
      </c>
    </row>
    <row r="33" spans="10:39" x14ac:dyDescent="0.25">
      <c r="J33" s="3">
        <v>27</v>
      </c>
      <c r="K33" s="7">
        <v>-0.8876090435688202</v>
      </c>
      <c r="L33" s="7">
        <f t="shared" si="5"/>
        <v>1.0180021036791005</v>
      </c>
      <c r="M33" s="7">
        <f t="shared" ca="1" si="0"/>
        <v>1.0308299519122195</v>
      </c>
      <c r="N33" s="7">
        <f t="shared" si="1"/>
        <v>-0.8876090435688202</v>
      </c>
      <c r="O33" s="7">
        <v>0.80137448834108382</v>
      </c>
      <c r="P33" s="7">
        <f t="shared" si="2"/>
        <v>1.0738725146831967</v>
      </c>
      <c r="Q33" s="7">
        <f t="shared" si="6"/>
        <v>0.27249802634211284</v>
      </c>
      <c r="R33" s="7">
        <f t="shared" si="3"/>
        <v>0.65023089115358057</v>
      </c>
      <c r="S33" s="7">
        <f t="shared" si="7"/>
        <v>-1.209148777500026E-2</v>
      </c>
      <c r="T33" s="7">
        <f t="shared" si="8"/>
        <v>1</v>
      </c>
      <c r="U33" s="7">
        <f t="shared" si="4"/>
        <v>1.3693005874586801</v>
      </c>
      <c r="V33" s="7">
        <f t="shared" si="9"/>
        <v>5.3952979416171651E-2</v>
      </c>
      <c r="W33" s="7">
        <f t="shared" si="10"/>
        <v>0</v>
      </c>
      <c r="X33" s="8" t="s">
        <v>3</v>
      </c>
      <c r="Y33" s="7">
        <v>-0.8876090435688202</v>
      </c>
      <c r="Z33" s="7">
        <v>1.0738725146831967</v>
      </c>
      <c r="AC33" s="7">
        <f t="shared" si="11"/>
        <v>0.4236416235296161</v>
      </c>
      <c r="AD33" s="7">
        <f t="shared" si="12"/>
        <v>0.29542807277548344</v>
      </c>
      <c r="AE33" s="6" t="s">
        <v>3</v>
      </c>
      <c r="AF33" s="6" t="s">
        <v>3</v>
      </c>
      <c r="AG33" s="6" t="s">
        <v>3</v>
      </c>
      <c r="AH33" s="6" t="s">
        <v>3</v>
      </c>
      <c r="AI33" s="6" t="s">
        <v>3</v>
      </c>
      <c r="AJ33" s="6" t="s">
        <v>3</v>
      </c>
      <c r="AK33" s="5">
        <f t="shared" si="13"/>
        <v>54.326518563339214</v>
      </c>
      <c r="AL33" s="7">
        <f t="shared" si="14"/>
        <v>0.65023089115358057</v>
      </c>
      <c r="AM33" s="7">
        <f t="shared" si="15"/>
        <v>1.3693005874586801</v>
      </c>
    </row>
    <row r="34" spans="10:39" x14ac:dyDescent="0.25">
      <c r="J34" s="3">
        <v>28</v>
      </c>
      <c r="K34" s="7">
        <v>-0.88608525099301949</v>
      </c>
      <c r="L34" s="7">
        <f t="shared" si="5"/>
        <v>1.0353752471725441</v>
      </c>
      <c r="M34" s="7">
        <f t="shared" ca="1" si="0"/>
        <v>0.74970408734026561</v>
      </c>
      <c r="N34" s="7">
        <f t="shared" si="1"/>
        <v>-0.88608525099301949</v>
      </c>
      <c r="O34" s="7">
        <v>1.0606060132673398</v>
      </c>
      <c r="P34" s="7">
        <f t="shared" si="2"/>
        <v>1.0900229840100804</v>
      </c>
      <c r="Q34" s="7">
        <f t="shared" si="6"/>
        <v>2.9416970742740522E-2</v>
      </c>
      <c r="R34" s="7">
        <f t="shared" si="3"/>
        <v>0.665081194064439</v>
      </c>
      <c r="S34" s="7">
        <f t="shared" si="7"/>
        <v>-3.164198553623207E-2</v>
      </c>
      <c r="T34" s="7">
        <f t="shared" si="8"/>
        <v>1</v>
      </c>
      <c r="U34" s="7">
        <f t="shared" si="4"/>
        <v>1.3880613218527218</v>
      </c>
      <c r="V34" s="7">
        <f t="shared" si="9"/>
        <v>3.1108254315611285E-2</v>
      </c>
      <c r="W34" s="7">
        <f t="shared" si="10"/>
        <v>0</v>
      </c>
      <c r="X34" s="8" t="s">
        <v>3</v>
      </c>
      <c r="Y34" s="7">
        <v>-0.88608525099301949</v>
      </c>
      <c r="Z34" s="7">
        <v>1.0900229840100804</v>
      </c>
      <c r="AC34" s="7">
        <f t="shared" si="11"/>
        <v>0.42494178994564136</v>
      </c>
      <c r="AD34" s="7">
        <f t="shared" si="12"/>
        <v>0.29803833784264144</v>
      </c>
      <c r="AE34" s="6" t="s">
        <v>3</v>
      </c>
      <c r="AF34" s="6" t="s">
        <v>3</v>
      </c>
      <c r="AG34" s="6" t="s">
        <v>3</v>
      </c>
      <c r="AH34" s="6" t="s">
        <v>3</v>
      </c>
      <c r="AI34" s="6" t="s">
        <v>3</v>
      </c>
      <c r="AJ34" s="6" t="s">
        <v>3</v>
      </c>
      <c r="AK34" s="5">
        <f t="shared" si="13"/>
        <v>55.092417172017342</v>
      </c>
      <c r="AL34" s="7">
        <f t="shared" si="14"/>
        <v>0.665081194064439</v>
      </c>
      <c r="AM34" s="7">
        <f t="shared" si="15"/>
        <v>1.3880613218527218</v>
      </c>
    </row>
    <row r="35" spans="10:39" x14ac:dyDescent="0.25">
      <c r="J35" s="3">
        <v>29</v>
      </c>
      <c r="K35" s="7">
        <v>-0.88066697938096072</v>
      </c>
      <c r="L35" s="7">
        <f t="shared" si="5"/>
        <v>1.0963569802675586</v>
      </c>
      <c r="M35" s="7">
        <f t="shared" ca="1" si="0"/>
        <v>0.94266093758644898</v>
      </c>
      <c r="N35" s="7">
        <f t="shared" si="1"/>
        <v>-0.88066697938096072</v>
      </c>
      <c r="O35" s="7">
        <v>1.0024432389777782</v>
      </c>
      <c r="P35" s="7">
        <f t="shared" si="2"/>
        <v>1.1465913532155791</v>
      </c>
      <c r="Q35" s="7">
        <f t="shared" si="6"/>
        <v>0.14414811423780094</v>
      </c>
      <c r="R35" s="7">
        <f t="shared" si="3"/>
        <v>0.71725527310888804</v>
      </c>
      <c r="S35" s="7">
        <f t="shared" si="7"/>
        <v>-2.2815037269511215E-2</v>
      </c>
      <c r="T35" s="7">
        <f t="shared" si="8"/>
        <v>1</v>
      </c>
      <c r="U35" s="7">
        <f t="shared" si="4"/>
        <v>1.4541376022809227</v>
      </c>
      <c r="V35" s="7">
        <f t="shared" si="9"/>
        <v>4.2910964513798729E-2</v>
      </c>
      <c r="W35" s="7">
        <f t="shared" si="10"/>
        <v>0</v>
      </c>
      <c r="X35" s="8" t="s">
        <v>3</v>
      </c>
      <c r="Y35" s="7">
        <v>-0.88066697938096072</v>
      </c>
      <c r="Z35" s="7">
        <v>1.1465913532155791</v>
      </c>
      <c r="AC35" s="7">
        <f t="shared" si="11"/>
        <v>0.42933608010669111</v>
      </c>
      <c r="AD35" s="7">
        <f t="shared" si="12"/>
        <v>0.30754624906534356</v>
      </c>
      <c r="AE35" s="6" t="s">
        <v>3</v>
      </c>
      <c r="AF35" s="6" t="s">
        <v>3</v>
      </c>
      <c r="AG35" s="6" t="s">
        <v>3</v>
      </c>
      <c r="AH35" s="6" t="s">
        <v>3</v>
      </c>
      <c r="AI35" s="6" t="s">
        <v>3</v>
      </c>
      <c r="AJ35" s="6" t="s">
        <v>3</v>
      </c>
      <c r="AK35" s="5">
        <f t="shared" si="13"/>
        <v>57.815784351395685</v>
      </c>
      <c r="AL35" s="7">
        <f t="shared" si="14"/>
        <v>0.71725527310888804</v>
      </c>
      <c r="AM35" s="7">
        <f t="shared" si="15"/>
        <v>1.4541376022809227</v>
      </c>
    </row>
    <row r="36" spans="10:39" x14ac:dyDescent="0.25">
      <c r="J36" s="3">
        <v>30</v>
      </c>
      <c r="K36" s="7">
        <v>-0.87425009186275759</v>
      </c>
      <c r="L36" s="7">
        <f t="shared" si="5"/>
        <v>1.1667731614448791</v>
      </c>
      <c r="M36" s="7">
        <f t="shared" ca="1" si="0"/>
        <v>1.1031207739540836</v>
      </c>
      <c r="N36" s="7">
        <f t="shared" si="1"/>
        <v>-0.87425009186275759</v>
      </c>
      <c r="O36" s="7">
        <v>1.3073237375148778</v>
      </c>
      <c r="P36" s="7">
        <f t="shared" si="2"/>
        <v>1.2117645252303817</v>
      </c>
      <c r="Q36" s="7">
        <f t="shared" si="6"/>
        <v>-9.5559212284496153E-2</v>
      </c>
      <c r="R36" s="7">
        <f t="shared" si="3"/>
        <v>0.77770469702701539</v>
      </c>
      <c r="S36" s="7">
        <f t="shared" si="7"/>
        <v>-4.2369523239028997E-2</v>
      </c>
      <c r="T36" s="7">
        <f t="shared" si="8"/>
        <v>1</v>
      </c>
      <c r="U36" s="7">
        <f t="shared" si="4"/>
        <v>1.5307865232802369</v>
      </c>
      <c r="V36" s="7">
        <f t="shared" si="9"/>
        <v>2.1228964647709112E-2</v>
      </c>
      <c r="W36" s="7">
        <f t="shared" si="10"/>
        <v>0</v>
      </c>
      <c r="X36" s="8" t="s">
        <v>3</v>
      </c>
      <c r="Y36" s="7">
        <v>-0.87425009186275759</v>
      </c>
      <c r="Z36" s="7">
        <v>1.2117645252303817</v>
      </c>
      <c r="AC36" s="7">
        <f t="shared" si="11"/>
        <v>0.4340598282033663</v>
      </c>
      <c r="AD36" s="7">
        <f t="shared" si="12"/>
        <v>0.3190219980498552</v>
      </c>
      <c r="AE36" s="6" t="s">
        <v>3</v>
      </c>
      <c r="AF36" s="6" t="s">
        <v>3</v>
      </c>
      <c r="AG36" s="6" t="s">
        <v>3</v>
      </c>
      <c r="AH36" s="6" t="s">
        <v>3</v>
      </c>
      <c r="AI36" s="6" t="s">
        <v>3</v>
      </c>
      <c r="AJ36" s="6" t="s">
        <v>3</v>
      </c>
      <c r="AK36" s="5">
        <f t="shared" si="13"/>
        <v>61.041082400674682</v>
      </c>
      <c r="AL36" s="7">
        <f t="shared" si="14"/>
        <v>0.77770469702701539</v>
      </c>
      <c r="AM36" s="7">
        <f t="shared" si="15"/>
        <v>1.5307865232802369</v>
      </c>
    </row>
    <row r="37" spans="10:39" x14ac:dyDescent="0.25">
      <c r="J37" s="3">
        <v>31</v>
      </c>
      <c r="K37" s="7">
        <v>-0.86675520692845365</v>
      </c>
      <c r="L37" s="7">
        <f t="shared" si="5"/>
        <v>1.2461758652280994</v>
      </c>
      <c r="M37" s="7">
        <f t="shared" ca="1" si="0"/>
        <v>1.4190184330213369</v>
      </c>
      <c r="N37" s="7">
        <f t="shared" si="1"/>
        <v>-0.86675520692845365</v>
      </c>
      <c r="O37" s="7">
        <v>1.5599558320900935</v>
      </c>
      <c r="P37" s="7">
        <f t="shared" si="2"/>
        <v>1.2852189958661817</v>
      </c>
      <c r="Q37" s="7">
        <f t="shared" si="6"/>
        <v>-0.27473683622391176</v>
      </c>
      <c r="R37" s="7">
        <f t="shared" si="3"/>
        <v>0.84633268544065932</v>
      </c>
      <c r="S37" s="7">
        <f t="shared" si="7"/>
        <v>-5.7089851731954737E-2</v>
      </c>
      <c r="T37" s="7">
        <f t="shared" si="8"/>
        <v>1</v>
      </c>
      <c r="U37" s="7">
        <f t="shared" si="4"/>
        <v>1.6174847560106684</v>
      </c>
      <c r="V37" s="7">
        <f t="shared" si="9"/>
        <v>5.4652477724546214E-3</v>
      </c>
      <c r="W37" s="7">
        <f t="shared" si="10"/>
        <v>0</v>
      </c>
      <c r="X37" s="8" t="s">
        <v>3</v>
      </c>
      <c r="Y37" s="7">
        <v>-0.86675520692845365</v>
      </c>
      <c r="Z37" s="7">
        <v>1.2852189958661817</v>
      </c>
      <c r="AC37" s="7">
        <f t="shared" si="11"/>
        <v>0.4388863104255224</v>
      </c>
      <c r="AD37" s="7">
        <f t="shared" si="12"/>
        <v>0.33226576014448672</v>
      </c>
      <c r="AE37" s="6" t="s">
        <v>3</v>
      </c>
      <c r="AF37" s="6" t="s">
        <v>3</v>
      </c>
      <c r="AG37" s="6" t="s">
        <v>3</v>
      </c>
      <c r="AH37" s="6" t="s">
        <v>3</v>
      </c>
      <c r="AI37" s="6" t="s">
        <v>3</v>
      </c>
      <c r="AJ37" s="6" t="s">
        <v>3</v>
      </c>
      <c r="AK37" s="5">
        <f t="shared" si="13"/>
        <v>64.808210574514035</v>
      </c>
      <c r="AL37" s="7">
        <f t="shared" si="14"/>
        <v>0.84633268544065932</v>
      </c>
      <c r="AM37" s="7">
        <f t="shared" si="15"/>
        <v>1.6174847560106684</v>
      </c>
    </row>
    <row r="38" spans="10:39" x14ac:dyDescent="0.25">
      <c r="J38" s="3">
        <v>32</v>
      </c>
      <c r="K38" s="7">
        <v>-0.86534099770392836</v>
      </c>
      <c r="L38" s="7">
        <f t="shared" si="5"/>
        <v>1.2607833219850273</v>
      </c>
      <c r="M38" s="7">
        <f t="shared" ca="1" si="0"/>
        <v>1.2010036150439427</v>
      </c>
      <c r="N38" s="7">
        <f t="shared" si="1"/>
        <v>-0.86534099770392836</v>
      </c>
      <c r="O38" s="7">
        <v>1.5072222339679406</v>
      </c>
      <c r="P38" s="7">
        <f t="shared" si="2"/>
        <v>1.2987412219867438</v>
      </c>
      <c r="Q38" s="7">
        <f t="shared" si="6"/>
        <v>-0.20848101198119684</v>
      </c>
      <c r="R38" s="7">
        <f t="shared" si="3"/>
        <v>0.85903014413284817</v>
      </c>
      <c r="S38" s="7">
        <f t="shared" si="7"/>
        <v>-5.1855367186807395E-2</v>
      </c>
      <c r="T38" s="7">
        <f t="shared" si="8"/>
        <v>1</v>
      </c>
      <c r="U38" s="7">
        <f t="shared" si="4"/>
        <v>1.6334458086822186</v>
      </c>
      <c r="V38" s="7">
        <f t="shared" si="9"/>
        <v>1.1991239597856402E-2</v>
      </c>
      <c r="W38" s="7">
        <f t="shared" si="10"/>
        <v>0</v>
      </c>
      <c r="X38" s="8" t="s">
        <v>3</v>
      </c>
      <c r="Y38" s="7">
        <v>-0.86534099770392836</v>
      </c>
      <c r="Z38" s="7">
        <v>1.2987412219867438</v>
      </c>
      <c r="AC38" s="7">
        <f t="shared" si="11"/>
        <v>0.43971107785389563</v>
      </c>
      <c r="AD38" s="7">
        <f t="shared" si="12"/>
        <v>0.33470458669547476</v>
      </c>
      <c r="AE38" s="6" t="s">
        <v>3</v>
      </c>
      <c r="AF38" s="6" t="s">
        <v>3</v>
      </c>
      <c r="AG38" s="6" t="s">
        <v>3</v>
      </c>
      <c r="AH38" s="6" t="s">
        <v>3</v>
      </c>
      <c r="AI38" s="6" t="s">
        <v>3</v>
      </c>
      <c r="AJ38" s="6" t="s">
        <v>3</v>
      </c>
      <c r="AK38" s="5">
        <f t="shared" si="13"/>
        <v>65.519029681159523</v>
      </c>
      <c r="AL38" s="7">
        <f t="shared" si="14"/>
        <v>0.85903014413284817</v>
      </c>
      <c r="AM38" s="7">
        <f t="shared" si="15"/>
        <v>1.6334458086822186</v>
      </c>
    </row>
    <row r="39" spans="10:39" x14ac:dyDescent="0.25">
      <c r="J39" s="3">
        <v>33</v>
      </c>
      <c r="K39" s="7">
        <v>-0.86068345085598086</v>
      </c>
      <c r="L39" s="7">
        <f t="shared" si="5"/>
        <v>1.3079933899529725</v>
      </c>
      <c r="M39" s="7">
        <f t="shared" ca="1" si="0"/>
        <v>1.0109981321743655</v>
      </c>
      <c r="N39" s="7">
        <f t="shared" si="1"/>
        <v>-0.86068345085598086</v>
      </c>
      <c r="O39" s="7">
        <v>1.7745638396489225</v>
      </c>
      <c r="P39" s="7">
        <f t="shared" si="2"/>
        <v>1.342486809610314</v>
      </c>
      <c r="Q39" s="7">
        <f t="shared" si="6"/>
        <v>-0.43207703003860853</v>
      </c>
      <c r="R39" s="7">
        <f t="shared" si="3"/>
        <v>0.90025620921836602</v>
      </c>
      <c r="S39" s="7">
        <f t="shared" si="7"/>
        <v>-6.9944610434444526E-2</v>
      </c>
      <c r="T39" s="7">
        <f t="shared" si="8"/>
        <v>1</v>
      </c>
      <c r="U39" s="7">
        <f t="shared" si="4"/>
        <v>1.6850137578484774</v>
      </c>
      <c r="V39" s="7">
        <f t="shared" si="9"/>
        <v>-8.1042824029402827E-2</v>
      </c>
      <c r="W39" s="7">
        <f t="shared" si="10"/>
        <v>1</v>
      </c>
      <c r="X39" s="8" t="s">
        <v>3</v>
      </c>
      <c r="Y39" s="7">
        <v>-0.86068345085598086</v>
      </c>
      <c r="Z39" s="7">
        <v>1.342486809610314</v>
      </c>
      <c r="AC39" s="7">
        <f t="shared" si="11"/>
        <v>0.44223060039194795</v>
      </c>
      <c r="AD39" s="7">
        <f t="shared" si="12"/>
        <v>0.34252694823816343</v>
      </c>
      <c r="AE39" s="6" t="s">
        <v>3</v>
      </c>
      <c r="AF39" s="6" t="s">
        <v>3</v>
      </c>
      <c r="AG39" s="6" t="s">
        <v>3</v>
      </c>
      <c r="AH39" s="6" t="s">
        <v>3</v>
      </c>
      <c r="AI39" s="6" t="s">
        <v>3</v>
      </c>
      <c r="AJ39" s="6" t="s">
        <v>3</v>
      </c>
      <c r="AK39" s="5">
        <f t="shared" si="13"/>
        <v>67.860036395161771</v>
      </c>
      <c r="AL39" s="7">
        <f t="shared" si="14"/>
        <v>0.90025620921836602</v>
      </c>
      <c r="AM39" s="7">
        <f t="shared" si="15"/>
        <v>1.6850137578484774</v>
      </c>
    </row>
    <row r="40" spans="10:39" x14ac:dyDescent="0.25">
      <c r="J40" s="3">
        <v>34</v>
      </c>
      <c r="K40" s="7">
        <v>-0.86048938185259183</v>
      </c>
      <c r="L40" s="7">
        <f t="shared" si="5"/>
        <v>1.3099298220761861</v>
      </c>
      <c r="M40" s="7">
        <f t="shared" ca="1" si="0"/>
        <v>1.4163809040042512</v>
      </c>
      <c r="N40" s="7">
        <f t="shared" si="1"/>
        <v>-0.86048938185259183</v>
      </c>
      <c r="O40" s="7">
        <v>1.1665738843947751</v>
      </c>
      <c r="P40" s="7">
        <f t="shared" si="2"/>
        <v>1.3442828842053678</v>
      </c>
      <c r="Q40" s="7">
        <f t="shared" si="6"/>
        <v>0.17770899981059274</v>
      </c>
      <c r="R40" s="7">
        <f t="shared" si="3"/>
        <v>0.90195390064403191</v>
      </c>
      <c r="S40" s="7">
        <f t="shared" si="7"/>
        <v>-2.1169598700059453E-2</v>
      </c>
      <c r="T40" s="7">
        <f t="shared" si="8"/>
        <v>1</v>
      </c>
      <c r="U40" s="7">
        <f t="shared" si="4"/>
        <v>1.687127718906194</v>
      </c>
      <c r="V40" s="7">
        <f t="shared" si="9"/>
        <v>4.9452614278584793E-2</v>
      </c>
      <c r="W40" s="7">
        <f t="shared" si="10"/>
        <v>0</v>
      </c>
      <c r="X40" s="8" t="s">
        <v>3</v>
      </c>
      <c r="Y40" s="7">
        <v>-0.86048938185259183</v>
      </c>
      <c r="Z40" s="7">
        <v>1.3442828842053678</v>
      </c>
      <c r="AC40" s="7">
        <f t="shared" si="11"/>
        <v>0.44232898356133588</v>
      </c>
      <c r="AD40" s="7">
        <f t="shared" si="12"/>
        <v>0.34284483470082616</v>
      </c>
      <c r="AE40" s="6" t="s">
        <v>3</v>
      </c>
      <c r="AF40" s="6" t="s">
        <v>3</v>
      </c>
      <c r="AG40" s="6" t="s">
        <v>3</v>
      </c>
      <c r="AH40" s="6" t="s">
        <v>3</v>
      </c>
      <c r="AI40" s="6" t="s">
        <v>3</v>
      </c>
      <c r="AJ40" s="6" t="s">
        <v>3</v>
      </c>
      <c r="AK40" s="5">
        <f t="shared" si="13"/>
        <v>67.957580629228602</v>
      </c>
      <c r="AL40" s="7">
        <f t="shared" si="14"/>
        <v>0.90195390064403191</v>
      </c>
      <c r="AM40" s="7">
        <f t="shared" si="15"/>
        <v>1.687127718906194</v>
      </c>
    </row>
    <row r="41" spans="10:39" x14ac:dyDescent="0.25">
      <c r="J41" s="3">
        <v>35</v>
      </c>
      <c r="K41" s="7">
        <v>-0.85994439006333812</v>
      </c>
      <c r="L41" s="7">
        <f t="shared" si="5"/>
        <v>1.3153543659092881</v>
      </c>
      <c r="M41" s="7">
        <f t="shared" ca="1" si="0"/>
        <v>1.0507209924454723</v>
      </c>
      <c r="N41" s="7">
        <f t="shared" si="1"/>
        <v>-0.85994439006333812</v>
      </c>
      <c r="O41" s="7">
        <v>1.5547699798655883</v>
      </c>
      <c r="P41" s="7">
        <f t="shared" si="2"/>
        <v>1.3493151010971398</v>
      </c>
      <c r="Q41" s="7">
        <f t="shared" si="6"/>
        <v>-0.20545487876844848</v>
      </c>
      <c r="R41" s="7">
        <f t="shared" si="3"/>
        <v>0.90671267319436522</v>
      </c>
      <c r="S41" s="7">
        <f t="shared" si="7"/>
        <v>-5.1844584533697849E-2</v>
      </c>
      <c r="T41" s="7">
        <f t="shared" si="8"/>
        <v>1</v>
      </c>
      <c r="U41" s="7">
        <f t="shared" si="4"/>
        <v>1.6930488108623427</v>
      </c>
      <c r="V41" s="7">
        <f t="shared" si="9"/>
        <v>1.313648894469167E-2</v>
      </c>
      <c r="W41" s="7">
        <f t="shared" si="10"/>
        <v>0</v>
      </c>
      <c r="X41" s="8" t="s">
        <v>3</v>
      </c>
      <c r="Y41" s="7">
        <v>-0.85994439006333812</v>
      </c>
      <c r="Z41" s="7">
        <v>1.3493151010971398</v>
      </c>
      <c r="AC41" s="7">
        <f t="shared" si="11"/>
        <v>0.4426024279027746</v>
      </c>
      <c r="AD41" s="7">
        <f t="shared" si="12"/>
        <v>0.3437337097652029</v>
      </c>
      <c r="AE41" s="6" t="s">
        <v>3</v>
      </c>
      <c r="AF41" s="6" t="s">
        <v>3</v>
      </c>
      <c r="AG41" s="6" t="s">
        <v>3</v>
      </c>
      <c r="AH41" s="6" t="s">
        <v>3</v>
      </c>
      <c r="AI41" s="6" t="s">
        <v>3</v>
      </c>
      <c r="AJ41" s="6" t="s">
        <v>3</v>
      </c>
      <c r="AK41" s="5">
        <f t="shared" si="13"/>
        <v>68.231507973251183</v>
      </c>
      <c r="AL41" s="7">
        <f t="shared" si="14"/>
        <v>0.90671267319436522</v>
      </c>
      <c r="AM41" s="7">
        <f t="shared" si="15"/>
        <v>1.6930488108623427</v>
      </c>
    </row>
    <row r="42" spans="10:39" x14ac:dyDescent="0.25">
      <c r="J42" s="3">
        <v>36</v>
      </c>
      <c r="K42" s="7">
        <v>-0.84598411027436771</v>
      </c>
      <c r="L42" s="7">
        <f t="shared" si="5"/>
        <v>1.4472157780623862</v>
      </c>
      <c r="M42" s="7">
        <f t="shared" ca="1" si="0"/>
        <v>1.1027194437438774</v>
      </c>
      <c r="N42" s="7">
        <f t="shared" si="1"/>
        <v>-0.84598411027436771</v>
      </c>
      <c r="O42" s="7">
        <v>1.4159374488551655</v>
      </c>
      <c r="P42" s="7">
        <f t="shared" si="2"/>
        <v>1.4721763312004632</v>
      </c>
      <c r="Q42" s="7">
        <f t="shared" si="6"/>
        <v>5.6238882345297725E-2</v>
      </c>
      <c r="R42" s="7">
        <f t="shared" si="3"/>
        <v>1.0240104585627687</v>
      </c>
      <c r="S42" s="7">
        <f t="shared" si="7"/>
        <v>-3.1354159223391742E-2</v>
      </c>
      <c r="T42" s="7">
        <f t="shared" si="8"/>
        <v>1</v>
      </c>
      <c r="U42" s="7">
        <f t="shared" si="4"/>
        <v>1.8362952879734133</v>
      </c>
      <c r="V42" s="7">
        <f t="shared" si="9"/>
        <v>3.9933994716233545E-2</v>
      </c>
      <c r="W42" s="7">
        <f t="shared" si="10"/>
        <v>0</v>
      </c>
      <c r="X42" s="8" t="s">
        <v>3</v>
      </c>
      <c r="Y42" s="7">
        <v>-0.84598411027436771</v>
      </c>
      <c r="Z42" s="7">
        <v>1.4721763312004632</v>
      </c>
      <c r="AC42" s="7">
        <f t="shared" si="11"/>
        <v>0.44816587263769447</v>
      </c>
      <c r="AD42" s="7">
        <f t="shared" si="12"/>
        <v>0.36411895677295014</v>
      </c>
      <c r="AE42" s="6" t="s">
        <v>3</v>
      </c>
      <c r="AF42" s="6" t="s">
        <v>3</v>
      </c>
      <c r="AG42" s="6" t="s">
        <v>3</v>
      </c>
      <c r="AH42" s="6" t="s">
        <v>3</v>
      </c>
      <c r="AI42" s="6" t="s">
        <v>3</v>
      </c>
      <c r="AJ42" s="6" t="s">
        <v>3</v>
      </c>
      <c r="AK42" s="5">
        <f t="shared" si="13"/>
        <v>75.248315271653638</v>
      </c>
      <c r="AL42" s="7">
        <f t="shared" si="14"/>
        <v>1.0240104585627687</v>
      </c>
      <c r="AM42" s="7">
        <f t="shared" si="15"/>
        <v>1.8362952879734133</v>
      </c>
    </row>
    <row r="43" spans="10:39" x14ac:dyDescent="0.25">
      <c r="J43" s="3">
        <v>37</v>
      </c>
      <c r="K43" s="7">
        <v>-0.83840833569535089</v>
      </c>
      <c r="L43" s="7">
        <f t="shared" si="5"/>
        <v>1.5126957682608368</v>
      </c>
      <c r="M43" s="7">
        <f t="shared" ca="1" si="0"/>
        <v>1.5126909991899589</v>
      </c>
      <c r="N43" s="7">
        <f t="shared" si="1"/>
        <v>-0.83840833569535089</v>
      </c>
      <c r="O43" s="7">
        <v>1.2420948321511727</v>
      </c>
      <c r="P43" s="7">
        <f t="shared" si="2"/>
        <v>1.5337305712549034</v>
      </c>
      <c r="Q43" s="7">
        <f t="shared" si="6"/>
        <v>0.29163573910373075</v>
      </c>
      <c r="R43" s="7">
        <f t="shared" si="3"/>
        <v>1.0837122451158914</v>
      </c>
      <c r="S43" s="7">
        <f t="shared" si="7"/>
        <v>-1.2670606962822503E-2</v>
      </c>
      <c r="T43" s="7">
        <f t="shared" si="8"/>
        <v>1</v>
      </c>
      <c r="U43" s="7">
        <f t="shared" si="4"/>
        <v>1.9065232056618431</v>
      </c>
      <c r="V43" s="7">
        <f t="shared" si="9"/>
        <v>6.3120695483513692E-2</v>
      </c>
      <c r="W43" s="7">
        <f t="shared" si="10"/>
        <v>0</v>
      </c>
      <c r="X43" s="8" t="s">
        <v>3</v>
      </c>
      <c r="Y43" s="7">
        <v>-0.83840833569535089</v>
      </c>
      <c r="Z43" s="7">
        <v>1.5337305712549034</v>
      </c>
      <c r="AC43" s="7">
        <f t="shared" si="11"/>
        <v>0.45001832613901205</v>
      </c>
      <c r="AD43" s="7">
        <f t="shared" si="12"/>
        <v>0.37279263440693966</v>
      </c>
      <c r="AE43" s="6" t="s">
        <v>3</v>
      </c>
      <c r="AF43" s="6" t="s">
        <v>3</v>
      </c>
      <c r="AG43" s="6" t="s">
        <v>3</v>
      </c>
      <c r="AH43" s="6" t="s">
        <v>3</v>
      </c>
      <c r="AI43" s="6" t="s">
        <v>3</v>
      </c>
      <c r="AJ43" s="6" t="s">
        <v>3</v>
      </c>
      <c r="AK43" s="5">
        <f t="shared" si="13"/>
        <v>79.056100728725582</v>
      </c>
      <c r="AL43" s="7">
        <f t="shared" si="14"/>
        <v>1.0837122451158914</v>
      </c>
      <c r="AM43" s="7">
        <f t="shared" si="15"/>
        <v>1.9065232056618431</v>
      </c>
    </row>
    <row r="44" spans="10:39" x14ac:dyDescent="0.25">
      <c r="J44" s="3">
        <v>38</v>
      </c>
      <c r="K44" s="7">
        <v>-0.83787060290430371</v>
      </c>
      <c r="L44" s="7">
        <f t="shared" si="5"/>
        <v>1.5171728043528088</v>
      </c>
      <c r="M44" s="7">
        <f t="shared" ca="1" si="0"/>
        <v>1.8281030511037928</v>
      </c>
      <c r="N44" s="7">
        <f t="shared" si="1"/>
        <v>-0.83787060290430371</v>
      </c>
      <c r="O44" s="7">
        <v>1.317554302323888</v>
      </c>
      <c r="P44" s="7">
        <f t="shared" si="2"/>
        <v>1.5379564981932701</v>
      </c>
      <c r="Q44" s="7">
        <f t="shared" si="6"/>
        <v>0.22040219586938203</v>
      </c>
      <c r="R44" s="7">
        <f t="shared" si="3"/>
        <v>1.0878377365141008</v>
      </c>
      <c r="S44" s="7">
        <f t="shared" si="7"/>
        <v>-1.8377325264782984E-2</v>
      </c>
      <c r="T44" s="7">
        <f t="shared" si="8"/>
        <v>1</v>
      </c>
      <c r="U44" s="7">
        <f t="shared" si="4"/>
        <v>1.9112908990906652</v>
      </c>
      <c r="V44" s="7">
        <f t="shared" si="9"/>
        <v>5.6404976692843826E-2</v>
      </c>
      <c r="W44" s="7">
        <f t="shared" si="10"/>
        <v>0</v>
      </c>
      <c r="X44" s="8" t="s">
        <v>3</v>
      </c>
      <c r="Y44" s="7">
        <v>-0.83787060290430371</v>
      </c>
      <c r="Z44" s="7">
        <v>1.5379564981932701</v>
      </c>
      <c r="AC44" s="7">
        <f t="shared" si="11"/>
        <v>0.45011876167916931</v>
      </c>
      <c r="AD44" s="7">
        <f t="shared" si="12"/>
        <v>0.37333440089739511</v>
      </c>
      <c r="AE44" s="6" t="s">
        <v>3</v>
      </c>
      <c r="AF44" s="6" t="s">
        <v>3</v>
      </c>
      <c r="AG44" s="6" t="s">
        <v>3</v>
      </c>
      <c r="AH44" s="6" t="s">
        <v>3</v>
      </c>
      <c r="AI44" s="6" t="s">
        <v>3</v>
      </c>
      <c r="AJ44" s="6" t="s">
        <v>3</v>
      </c>
      <c r="AK44" s="5">
        <f t="shared" si="13"/>
        <v>79.326379507507013</v>
      </c>
      <c r="AL44" s="7">
        <f t="shared" si="14"/>
        <v>1.0878377365141008</v>
      </c>
      <c r="AM44" s="7">
        <f t="shared" si="15"/>
        <v>1.9112908990906652</v>
      </c>
    </row>
    <row r="45" spans="10:39" x14ac:dyDescent="0.25">
      <c r="J45" s="3">
        <v>39</v>
      </c>
      <c r="K45" s="7">
        <v>-0.83651914295196983</v>
      </c>
      <c r="L45" s="7">
        <f t="shared" si="5"/>
        <v>1.5283230846367326</v>
      </c>
      <c r="M45" s="7">
        <f t="shared" ca="1" si="0"/>
        <v>1.6358252666767832</v>
      </c>
      <c r="N45" s="7">
        <f t="shared" si="1"/>
        <v>-0.83651914295196983</v>
      </c>
      <c r="O45" s="7">
        <v>1.4919658605225987</v>
      </c>
      <c r="P45" s="7">
        <f t="shared" si="2"/>
        <v>1.5484920136497005</v>
      </c>
      <c r="Q45" s="7">
        <f t="shared" si="6"/>
        <v>5.6526153127101741E-2</v>
      </c>
      <c r="R45" s="7">
        <f t="shared" si="3"/>
        <v>1.0981388917618791</v>
      </c>
      <c r="S45" s="7">
        <f t="shared" si="7"/>
        <v>-3.1506157500857571E-2</v>
      </c>
      <c r="T45" s="7">
        <f t="shared" si="8"/>
        <v>1</v>
      </c>
      <c r="U45" s="7">
        <f t="shared" si="4"/>
        <v>1.9231429116791736</v>
      </c>
      <c r="V45" s="7">
        <f t="shared" si="9"/>
        <v>4.0961819859874612E-2</v>
      </c>
      <c r="W45" s="7">
        <f t="shared" si="10"/>
        <v>0</v>
      </c>
      <c r="X45" s="8" t="s">
        <v>3</v>
      </c>
      <c r="Y45" s="7">
        <v>-0.83651914295196983</v>
      </c>
      <c r="Z45" s="7">
        <v>1.5484920136497005</v>
      </c>
      <c r="AC45" s="7">
        <f t="shared" si="11"/>
        <v>0.45035312188782139</v>
      </c>
      <c r="AD45" s="7">
        <f t="shared" si="12"/>
        <v>0.37465089802947316</v>
      </c>
      <c r="AE45" s="6" t="s">
        <v>3</v>
      </c>
      <c r="AF45" s="6" t="s">
        <v>3</v>
      </c>
      <c r="AG45" s="6" t="s">
        <v>3</v>
      </c>
      <c r="AH45" s="6" t="s">
        <v>3</v>
      </c>
      <c r="AI45" s="6" t="s">
        <v>3</v>
      </c>
      <c r="AJ45" s="6" t="s">
        <v>3</v>
      </c>
      <c r="AK45" s="5">
        <f t="shared" si="13"/>
        <v>80.005659163816432</v>
      </c>
      <c r="AL45" s="7">
        <f t="shared" si="14"/>
        <v>1.0981388917618791</v>
      </c>
      <c r="AM45" s="7">
        <f t="shared" si="15"/>
        <v>1.9231429116791736</v>
      </c>
    </row>
    <row r="46" spans="10:39" x14ac:dyDescent="0.25">
      <c r="J46" s="3">
        <v>40</v>
      </c>
      <c r="K46" s="7">
        <v>-0.83333357424212329</v>
      </c>
      <c r="L46" s="7">
        <f t="shared" si="5"/>
        <v>1.5540256306000426</v>
      </c>
      <c r="M46" s="7">
        <f t="shared" ca="1" si="0"/>
        <v>0.97000762506659199</v>
      </c>
      <c r="N46" s="7">
        <f t="shared" si="1"/>
        <v>-0.83333357424212329</v>
      </c>
      <c r="O46" s="7">
        <v>1.5283058252170911</v>
      </c>
      <c r="P46" s="7">
        <f t="shared" si="2"/>
        <v>1.5728382324955217</v>
      </c>
      <c r="Q46" s="7">
        <f t="shared" si="6"/>
        <v>4.4532407278430552E-2</v>
      </c>
      <c r="R46" s="7">
        <f t="shared" si="3"/>
        <v>1.1220344655855961</v>
      </c>
      <c r="S46" s="7">
        <f t="shared" si="7"/>
        <v>-3.2501708770519604E-2</v>
      </c>
      <c r="T46" s="7">
        <f t="shared" si="8"/>
        <v>1</v>
      </c>
      <c r="U46" s="7">
        <f t="shared" si="4"/>
        <v>1.9503324219359635</v>
      </c>
      <c r="V46" s="7">
        <f t="shared" si="9"/>
        <v>4.009252668829287E-2</v>
      </c>
      <c r="W46" s="7">
        <f t="shared" si="10"/>
        <v>0</v>
      </c>
      <c r="X46" s="8" t="s">
        <v>3</v>
      </c>
      <c r="Y46" s="7">
        <v>-0.83333357424212329</v>
      </c>
      <c r="Z46" s="7">
        <v>1.5728382324955217</v>
      </c>
      <c r="AC46" s="7">
        <f t="shared" si="11"/>
        <v>0.45080376690992563</v>
      </c>
      <c r="AD46" s="7">
        <f t="shared" si="12"/>
        <v>0.37749418944044177</v>
      </c>
      <c r="AE46" s="6" t="s">
        <v>3</v>
      </c>
      <c r="AF46" s="6" t="s">
        <v>3</v>
      </c>
      <c r="AG46" s="6" t="s">
        <v>3</v>
      </c>
      <c r="AH46" s="6" t="s">
        <v>3</v>
      </c>
      <c r="AI46" s="6" t="s">
        <v>3</v>
      </c>
      <c r="AJ46" s="6" t="s">
        <v>3</v>
      </c>
      <c r="AK46" s="5">
        <f t="shared" si="13"/>
        <v>81.60681058131695</v>
      </c>
      <c r="AL46" s="7">
        <f t="shared" si="14"/>
        <v>1.1220344655855961</v>
      </c>
      <c r="AM46" s="7">
        <f t="shared" si="15"/>
        <v>1.9503324219359635</v>
      </c>
    </row>
    <row r="47" spans="10:39" x14ac:dyDescent="0.25">
      <c r="J47" s="3">
        <v>41</v>
      </c>
      <c r="K47" s="7">
        <v>-0.83070770558237328</v>
      </c>
      <c r="L47" s="7">
        <f t="shared" si="5"/>
        <v>1.574593261767514</v>
      </c>
      <c r="M47" s="7">
        <f t="shared" ca="1" si="0"/>
        <v>1.4909787808851853</v>
      </c>
      <c r="N47" s="7">
        <f t="shared" si="1"/>
        <v>-0.83070770558237328</v>
      </c>
      <c r="O47" s="7">
        <v>1.8576502527248224</v>
      </c>
      <c r="P47" s="7">
        <f t="shared" si="2"/>
        <v>1.5923858547313874</v>
      </c>
      <c r="Q47" s="7">
        <f t="shared" si="6"/>
        <v>-0.26526439799343504</v>
      </c>
      <c r="R47" s="7">
        <f t="shared" si="3"/>
        <v>1.1413172804121696</v>
      </c>
      <c r="S47" s="7">
        <f t="shared" si="7"/>
        <v>-5.7306637785012222E-2</v>
      </c>
      <c r="T47" s="7">
        <f t="shared" si="8"/>
        <v>1</v>
      </c>
      <c r="U47" s="7">
        <f t="shared" si="4"/>
        <v>1.9719435662448879</v>
      </c>
      <c r="V47" s="7">
        <f t="shared" si="9"/>
        <v>1.0857864784406217E-2</v>
      </c>
      <c r="W47" s="7">
        <f t="shared" si="10"/>
        <v>0</v>
      </c>
      <c r="X47" s="8" t="s">
        <v>3</v>
      </c>
      <c r="Y47" s="7">
        <v>-0.83070770558237328</v>
      </c>
      <c r="Z47" s="7">
        <v>1.5923858547313874</v>
      </c>
      <c r="AC47" s="7">
        <f t="shared" si="11"/>
        <v>0.45106857431921776</v>
      </c>
      <c r="AD47" s="7">
        <f t="shared" si="12"/>
        <v>0.37955771151350048</v>
      </c>
      <c r="AE47" s="6" t="s">
        <v>3</v>
      </c>
      <c r="AF47" s="6" t="s">
        <v>3</v>
      </c>
      <c r="AG47" s="6" t="s">
        <v>3</v>
      </c>
      <c r="AH47" s="6" t="s">
        <v>3</v>
      </c>
      <c r="AI47" s="6" t="s">
        <v>3</v>
      </c>
      <c r="AJ47" s="6" t="s">
        <v>3</v>
      </c>
      <c r="AK47" s="5">
        <f t="shared" si="13"/>
        <v>82.926641892358248</v>
      </c>
      <c r="AL47" s="7">
        <f t="shared" si="14"/>
        <v>1.1413172804121696</v>
      </c>
      <c r="AM47" s="7">
        <f t="shared" si="15"/>
        <v>1.9719435662448879</v>
      </c>
    </row>
    <row r="48" spans="10:39" x14ac:dyDescent="0.25">
      <c r="J48" s="3">
        <v>42</v>
      </c>
      <c r="K48" s="7">
        <v>-0.8257258010660824</v>
      </c>
      <c r="L48" s="7">
        <f t="shared" si="5"/>
        <v>1.6120560372041981</v>
      </c>
      <c r="M48" s="7">
        <f t="shared" ca="1" si="0"/>
        <v>1.1161658237950995</v>
      </c>
      <c r="N48" s="7">
        <f t="shared" si="1"/>
        <v>-0.8257258010660824</v>
      </c>
      <c r="O48" s="7">
        <v>2.0109695386870836</v>
      </c>
      <c r="P48" s="7">
        <f t="shared" si="2"/>
        <v>1.6281553063183132</v>
      </c>
      <c r="Q48" s="7">
        <f t="shared" si="6"/>
        <v>-0.38281423236877044</v>
      </c>
      <c r="R48" s="7">
        <f t="shared" si="3"/>
        <v>1.1768456313976381</v>
      </c>
      <c r="S48" s="7">
        <f t="shared" si="7"/>
        <v>-6.6729912583155637E-2</v>
      </c>
      <c r="T48" s="7">
        <f t="shared" si="8"/>
        <v>1</v>
      </c>
      <c r="U48" s="7">
        <f t="shared" si="4"/>
        <v>2.0109158524929018</v>
      </c>
      <c r="V48" s="7">
        <f t="shared" si="9"/>
        <v>-4.858600573451E-5</v>
      </c>
      <c r="W48" s="7">
        <f t="shared" si="10"/>
        <v>1</v>
      </c>
      <c r="X48" s="8" t="s">
        <v>3</v>
      </c>
      <c r="Y48" s="7">
        <v>-0.8257258010660824</v>
      </c>
      <c r="Z48" s="7">
        <v>1.6281553063183132</v>
      </c>
      <c r="AC48" s="7">
        <f t="shared" si="11"/>
        <v>0.45130967492067509</v>
      </c>
      <c r="AD48" s="7">
        <f t="shared" si="12"/>
        <v>0.38276054617458866</v>
      </c>
      <c r="AE48" s="6" t="s">
        <v>3</v>
      </c>
      <c r="AF48" s="6" t="s">
        <v>3</v>
      </c>
      <c r="AG48" s="6" t="s">
        <v>3</v>
      </c>
      <c r="AH48" s="6" t="s">
        <v>3</v>
      </c>
      <c r="AI48" s="6" t="s">
        <v>3</v>
      </c>
      <c r="AJ48" s="6" t="s">
        <v>3</v>
      </c>
      <c r="AK48" s="5">
        <f t="shared" si="13"/>
        <v>85.430679382887078</v>
      </c>
      <c r="AL48" s="7">
        <f t="shared" si="14"/>
        <v>1.1768456313976381</v>
      </c>
      <c r="AM48" s="7">
        <f t="shared" si="15"/>
        <v>2.0109158524929018</v>
      </c>
    </row>
    <row r="49" spans="10:39" x14ac:dyDescent="0.25">
      <c r="J49" s="3">
        <v>43</v>
      </c>
      <c r="K49" s="7">
        <v>-0.81842631673824351</v>
      </c>
      <c r="L49" s="7">
        <f t="shared" si="5"/>
        <v>1.6632014626704212</v>
      </c>
      <c r="M49" s="7">
        <f t="shared" ca="1" si="0"/>
        <v>1.6909945301049931</v>
      </c>
      <c r="N49" s="7">
        <f t="shared" si="1"/>
        <v>-0.81842631673824351</v>
      </c>
      <c r="O49" s="7">
        <v>1.7596530190429047</v>
      </c>
      <c r="P49" s="7">
        <f t="shared" si="2"/>
        <v>1.6773784151537741</v>
      </c>
      <c r="Q49" s="7">
        <f t="shared" si="6"/>
        <v>-8.227460388913066E-2</v>
      </c>
      <c r="R49" s="7">
        <f t="shared" si="3"/>
        <v>1.2263187887293059</v>
      </c>
      <c r="S49" s="7">
        <f t="shared" si="7"/>
        <v>-4.2666738425087905E-2</v>
      </c>
      <c r="T49" s="7">
        <f t="shared" si="8"/>
        <v>1</v>
      </c>
      <c r="U49" s="7">
        <f t="shared" si="4"/>
        <v>2.0631207082026886</v>
      </c>
      <c r="V49" s="7">
        <f t="shared" si="9"/>
        <v>2.8829430470179464E-2</v>
      </c>
      <c r="W49" s="7">
        <f t="shared" si="10"/>
        <v>0</v>
      </c>
      <c r="X49" s="8" t="s">
        <v>3</v>
      </c>
      <c r="Y49" s="7">
        <v>-0.81842631673824351</v>
      </c>
      <c r="Z49" s="7">
        <v>1.6773784151537741</v>
      </c>
      <c r="AC49" s="7">
        <f t="shared" si="11"/>
        <v>0.45105962642446817</v>
      </c>
      <c r="AD49" s="7">
        <f t="shared" si="12"/>
        <v>0.3857422930489145</v>
      </c>
      <c r="AE49" s="6" t="s">
        <v>3</v>
      </c>
      <c r="AF49" s="6" t="s">
        <v>3</v>
      </c>
      <c r="AG49" s="6" t="s">
        <v>3</v>
      </c>
      <c r="AH49" s="6" t="s">
        <v>3</v>
      </c>
      <c r="AI49" s="6" t="s">
        <v>3</v>
      </c>
      <c r="AJ49" s="6" t="s">
        <v>3</v>
      </c>
      <c r="AK49" s="5">
        <f t="shared" si="13"/>
        <v>89.099594023596566</v>
      </c>
      <c r="AL49" s="7">
        <f t="shared" si="14"/>
        <v>1.2263187887293059</v>
      </c>
      <c r="AM49" s="7">
        <f t="shared" si="15"/>
        <v>2.0631207082026886</v>
      </c>
    </row>
    <row r="50" spans="10:39" x14ac:dyDescent="0.25">
      <c r="J50" s="3">
        <v>44</v>
      </c>
      <c r="K50" s="7">
        <v>-0.81545632508858246</v>
      </c>
      <c r="L50" s="7">
        <f t="shared" si="5"/>
        <v>1.6827213471052127</v>
      </c>
      <c r="M50" s="7">
        <f t="shared" ca="1" si="0"/>
        <v>1.6681958315897019</v>
      </c>
      <c r="N50" s="7">
        <f t="shared" si="1"/>
        <v>-0.81545632508858246</v>
      </c>
      <c r="O50" s="7">
        <v>1.6672489676635622</v>
      </c>
      <c r="P50" s="7">
        <f t="shared" si="2"/>
        <v>1.6962990070985857</v>
      </c>
      <c r="Q50" s="7">
        <f t="shared" si="6"/>
        <v>2.9050039435023489E-2</v>
      </c>
      <c r="R50" s="7">
        <f t="shared" si="3"/>
        <v>1.2455402612412132</v>
      </c>
      <c r="S50" s="7">
        <f t="shared" si="7"/>
        <v>-3.3736696513787925E-2</v>
      </c>
      <c r="T50" s="7">
        <f t="shared" si="8"/>
        <v>1</v>
      </c>
      <c r="U50" s="7">
        <f t="shared" si="4"/>
        <v>2.0826718071224817</v>
      </c>
      <c r="V50" s="7">
        <f t="shared" si="9"/>
        <v>3.9465169748597345E-2</v>
      </c>
      <c r="W50" s="7">
        <f t="shared" si="10"/>
        <v>0</v>
      </c>
      <c r="X50" s="8" t="s">
        <v>3</v>
      </c>
      <c r="Y50" s="7">
        <v>-0.81545632508858246</v>
      </c>
      <c r="Z50" s="7">
        <v>1.6962990070985857</v>
      </c>
      <c r="AC50" s="7">
        <f t="shared" si="11"/>
        <v>0.45075874585737252</v>
      </c>
      <c r="AD50" s="7">
        <f t="shared" si="12"/>
        <v>0.38637280002389596</v>
      </c>
      <c r="AE50" s="6" t="s">
        <v>3</v>
      </c>
      <c r="AF50" s="6" t="s">
        <v>3</v>
      </c>
      <c r="AG50" s="6" t="s">
        <v>3</v>
      </c>
      <c r="AH50" s="6" t="s">
        <v>3</v>
      </c>
      <c r="AI50" s="6" t="s">
        <v>3</v>
      </c>
      <c r="AJ50" s="6" t="s">
        <v>3</v>
      </c>
      <c r="AK50" s="5">
        <f t="shared" si="13"/>
        <v>90.592390686597611</v>
      </c>
      <c r="AL50" s="7">
        <f t="shared" si="14"/>
        <v>1.2455402612412132</v>
      </c>
      <c r="AM50" s="7">
        <f t="shared" si="15"/>
        <v>2.0826718071224817</v>
      </c>
    </row>
    <row r="51" spans="10:39" x14ac:dyDescent="0.25">
      <c r="J51" s="3">
        <v>45</v>
      </c>
      <c r="K51" s="7">
        <v>-0.809001184242917</v>
      </c>
      <c r="L51" s="7">
        <f t="shared" si="5"/>
        <v>1.722549417216253</v>
      </c>
      <c r="M51" s="7">
        <f t="shared" ca="1" si="0"/>
        <v>2.2156372363735457</v>
      </c>
      <c r="N51" s="7">
        <f t="shared" si="1"/>
        <v>-0.809001184242917</v>
      </c>
      <c r="O51" s="7">
        <v>1.2795518762346139</v>
      </c>
      <c r="P51" s="7">
        <f t="shared" si="2"/>
        <v>1.7351673630654718</v>
      </c>
      <c r="Q51" s="7">
        <f t="shared" si="6"/>
        <v>0.45561548683085795</v>
      </c>
      <c r="R51" s="7">
        <f t="shared" si="3"/>
        <v>1.2854439404132447</v>
      </c>
      <c r="S51" s="7">
        <f t="shared" si="7"/>
        <v>5.4206990443403935E-3</v>
      </c>
      <c r="T51" s="7">
        <f t="shared" si="8"/>
        <v>0</v>
      </c>
      <c r="U51" s="7">
        <f t="shared" si="4"/>
        <v>2.1217685673016655</v>
      </c>
      <c r="V51" s="7">
        <f t="shared" si="9"/>
        <v>8.0010585651369912E-2</v>
      </c>
      <c r="W51" s="7">
        <f t="shared" si="10"/>
        <v>0</v>
      </c>
      <c r="X51" s="8" t="s">
        <v>3</v>
      </c>
      <c r="Y51" s="7">
        <v>-0.809001184242917</v>
      </c>
      <c r="Z51" s="7">
        <v>1.7351673630654718</v>
      </c>
      <c r="AC51" s="7">
        <f t="shared" si="11"/>
        <v>0.44972342265222709</v>
      </c>
      <c r="AD51" s="7">
        <f t="shared" si="12"/>
        <v>0.38660120423619371</v>
      </c>
      <c r="AE51" s="6" t="s">
        <v>3</v>
      </c>
      <c r="AF51" s="6" t="s">
        <v>3</v>
      </c>
      <c r="AG51" s="6" t="s">
        <v>3</v>
      </c>
      <c r="AH51" s="6" t="s">
        <v>3</v>
      </c>
      <c r="AI51" s="6" t="s">
        <v>3</v>
      </c>
      <c r="AJ51" s="6" t="s">
        <v>3</v>
      </c>
      <c r="AK51" s="5">
        <f t="shared" si="13"/>
        <v>93.836915873970057</v>
      </c>
      <c r="AL51" s="7">
        <f t="shared" si="14"/>
        <v>1.2854439404132447</v>
      </c>
      <c r="AM51" s="7">
        <f t="shared" si="15"/>
        <v>2.1217685673016655</v>
      </c>
    </row>
    <row r="52" spans="10:39" x14ac:dyDescent="0.25">
      <c r="J52" s="3">
        <v>46</v>
      </c>
      <c r="K52" s="7">
        <v>-0.80890156297895377</v>
      </c>
      <c r="L52" s="7">
        <f t="shared" si="5"/>
        <v>1.72313609809491</v>
      </c>
      <c r="M52" s="7">
        <f t="shared" ca="1" si="0"/>
        <v>1.5011995996261613</v>
      </c>
      <c r="N52" s="7">
        <f t="shared" si="1"/>
        <v>-0.80890156297895377</v>
      </c>
      <c r="O52" s="7">
        <v>2.0884435942354442</v>
      </c>
      <c r="P52" s="7">
        <f t="shared" si="2"/>
        <v>1.7357427526486704</v>
      </c>
      <c r="Q52" s="7">
        <f t="shared" si="6"/>
        <v>-0.35270084158677384</v>
      </c>
      <c r="R52" s="7">
        <f t="shared" si="3"/>
        <v>1.2860392930807292</v>
      </c>
      <c r="S52" s="7">
        <f t="shared" si="7"/>
        <v>-6.4192344092377202E-2</v>
      </c>
      <c r="T52" s="7">
        <f t="shared" si="8"/>
        <v>1</v>
      </c>
      <c r="U52" s="7">
        <f t="shared" si="4"/>
        <v>2.1223354447977876</v>
      </c>
      <c r="V52" s="7">
        <f t="shared" si="9"/>
        <v>3.2197258034226172E-3</v>
      </c>
      <c r="W52" s="7">
        <f t="shared" si="10"/>
        <v>0</v>
      </c>
      <c r="X52" s="8" t="s">
        <v>3</v>
      </c>
      <c r="Y52" s="7">
        <v>-0.80890156297895377</v>
      </c>
      <c r="Z52" s="7">
        <v>1.7357427526486704</v>
      </c>
      <c r="AC52" s="7">
        <f t="shared" si="11"/>
        <v>0.44970345956794122</v>
      </c>
      <c r="AD52" s="7">
        <f t="shared" si="12"/>
        <v>0.38659269214911718</v>
      </c>
      <c r="AE52" s="6" t="s">
        <v>3</v>
      </c>
      <c r="AF52" s="6" t="s">
        <v>3</v>
      </c>
      <c r="AG52" s="6" t="s">
        <v>3</v>
      </c>
      <c r="AH52" s="6" t="s">
        <v>3</v>
      </c>
      <c r="AI52" s="6" t="s">
        <v>3</v>
      </c>
      <c r="AJ52" s="6" t="s">
        <v>3</v>
      </c>
      <c r="AK52" s="5">
        <f t="shared" si="13"/>
        <v>93.886988166404038</v>
      </c>
      <c r="AL52" s="7">
        <f t="shared" si="14"/>
        <v>1.2860392930807292</v>
      </c>
      <c r="AM52" s="7">
        <f t="shared" si="15"/>
        <v>2.1223354447977876</v>
      </c>
    </row>
    <row r="53" spans="10:39" x14ac:dyDescent="0.25">
      <c r="J53" s="3">
        <v>47</v>
      </c>
      <c r="K53" s="7">
        <v>-0.8056954108011285</v>
      </c>
      <c r="L53" s="7">
        <f t="shared" si="5"/>
        <v>1.7415622188833537</v>
      </c>
      <c r="M53" s="7">
        <f t="shared" ca="1" si="0"/>
        <v>1.5771930516522479</v>
      </c>
      <c r="N53" s="7">
        <f t="shared" si="1"/>
        <v>-0.8056954108011285</v>
      </c>
      <c r="O53" s="7">
        <v>1.7697157024677024</v>
      </c>
      <c r="P53" s="7">
        <f t="shared" si="2"/>
        <v>1.7538596714039449</v>
      </c>
      <c r="Q53" s="7">
        <f t="shared" si="6"/>
        <v>-1.5856031063757436E-2</v>
      </c>
      <c r="R53" s="7">
        <f t="shared" si="3"/>
        <v>1.304861442841849</v>
      </c>
      <c r="S53" s="7">
        <f t="shared" si="7"/>
        <v>-3.7188340770068266E-2</v>
      </c>
      <c r="T53" s="7">
        <f t="shared" si="8"/>
        <v>1</v>
      </c>
      <c r="U53" s="7">
        <f t="shared" si="4"/>
        <v>2.1399878022963299</v>
      </c>
      <c r="V53" s="7">
        <f t="shared" si="9"/>
        <v>3.5175849483719615E-2</v>
      </c>
      <c r="W53" s="7">
        <f t="shared" si="10"/>
        <v>0</v>
      </c>
      <c r="X53" s="8" t="s">
        <v>3</v>
      </c>
      <c r="Y53" s="7">
        <v>-0.8056954108011285</v>
      </c>
      <c r="Z53" s="7">
        <v>1.7538596714039449</v>
      </c>
      <c r="AC53" s="7">
        <f t="shared" si="11"/>
        <v>0.44899822856209592</v>
      </c>
      <c r="AD53" s="7">
        <f t="shared" si="12"/>
        <v>0.38612813089238496</v>
      </c>
      <c r="AE53" s="6" t="s">
        <v>3</v>
      </c>
      <c r="AF53" s="6" t="s">
        <v>3</v>
      </c>
      <c r="AG53" s="6" t="s">
        <v>3</v>
      </c>
      <c r="AH53" s="6" t="s">
        <v>3</v>
      </c>
      <c r="AI53" s="6" t="s">
        <v>3</v>
      </c>
      <c r="AJ53" s="6" t="s">
        <v>3</v>
      </c>
      <c r="AK53" s="5">
        <f t="shared" si="13"/>
        <v>95.498485381447495</v>
      </c>
      <c r="AL53" s="7">
        <f t="shared" si="14"/>
        <v>1.304861442841849</v>
      </c>
      <c r="AM53" s="7">
        <f t="shared" si="15"/>
        <v>2.1399878022963299</v>
      </c>
    </row>
    <row r="54" spans="10:39" x14ac:dyDescent="0.25">
      <c r="J54" s="3">
        <v>48</v>
      </c>
      <c r="K54" s="7">
        <v>-0.80361428399212254</v>
      </c>
      <c r="L54" s="7">
        <f t="shared" si="5"/>
        <v>1.7530496794570016</v>
      </c>
      <c r="M54" s="7">
        <f t="shared" ca="1" si="0"/>
        <v>2.3531227777906274</v>
      </c>
      <c r="N54" s="7">
        <f t="shared" si="1"/>
        <v>-0.80361428399212254</v>
      </c>
      <c r="O54" s="7">
        <v>1.931778097489141</v>
      </c>
      <c r="P54" s="7">
        <f t="shared" si="2"/>
        <v>1.7652008641944705</v>
      </c>
      <c r="Q54" s="7">
        <f t="shared" si="6"/>
        <v>-0.16657723329467045</v>
      </c>
      <c r="R54" s="7">
        <f t="shared" si="3"/>
        <v>1.3167243764779866</v>
      </c>
      <c r="S54" s="7">
        <f t="shared" si="7"/>
        <v>-4.920429768089235E-2</v>
      </c>
      <c r="T54" s="7">
        <f t="shared" si="8"/>
        <v>1</v>
      </c>
      <c r="U54" s="7">
        <f t="shared" si="4"/>
        <v>2.1508328354572974</v>
      </c>
      <c r="V54" s="7">
        <f t="shared" si="9"/>
        <v>2.0810200106974864E-2</v>
      </c>
      <c r="W54" s="7">
        <f t="shared" si="10"/>
        <v>0</v>
      </c>
      <c r="X54" s="8" t="s">
        <v>3</v>
      </c>
      <c r="Y54" s="7">
        <v>-0.80361428399212254</v>
      </c>
      <c r="Z54" s="7">
        <v>1.7652008641944705</v>
      </c>
      <c r="AC54" s="7">
        <f t="shared" si="11"/>
        <v>0.44847648771648396</v>
      </c>
      <c r="AD54" s="7">
        <f t="shared" si="12"/>
        <v>0.38563197126282689</v>
      </c>
      <c r="AE54" s="6" t="s">
        <v>3</v>
      </c>
      <c r="AF54" s="6" t="s">
        <v>3</v>
      </c>
      <c r="AG54" s="6" t="s">
        <v>3</v>
      </c>
      <c r="AH54" s="6" t="s">
        <v>3</v>
      </c>
      <c r="AI54" s="6" t="s">
        <v>3</v>
      </c>
      <c r="AJ54" s="6" t="s">
        <v>3</v>
      </c>
      <c r="AK54" s="5">
        <f t="shared" si="13"/>
        <v>96.544514974197583</v>
      </c>
      <c r="AL54" s="7">
        <f t="shared" si="14"/>
        <v>1.3167243764779866</v>
      </c>
      <c r="AM54" s="7">
        <f t="shared" si="15"/>
        <v>2.1508328354572974</v>
      </c>
    </row>
    <row r="55" spans="10:39" x14ac:dyDescent="0.25">
      <c r="J55" s="3">
        <v>49</v>
      </c>
      <c r="K55" s="7">
        <v>-0.79556869619577042</v>
      </c>
      <c r="L55" s="7">
        <f t="shared" si="5"/>
        <v>1.7939566591473526</v>
      </c>
      <c r="M55" s="7">
        <f t="shared" ca="1" si="0"/>
        <v>1.4597972616150419</v>
      </c>
      <c r="N55" s="7">
        <f t="shared" si="1"/>
        <v>-0.79556869619577042</v>
      </c>
      <c r="O55" s="7">
        <v>1.9855295726666877</v>
      </c>
      <c r="P55" s="7">
        <f t="shared" si="2"/>
        <v>1.8059095509259315</v>
      </c>
      <c r="Q55" s="7">
        <f t="shared" si="6"/>
        <v>-0.1796200217407562</v>
      </c>
      <c r="R55" s="7">
        <f t="shared" si="3"/>
        <v>1.3599009510017808</v>
      </c>
      <c r="S55" s="7">
        <f t="shared" si="7"/>
        <v>-5.005028973319256E-2</v>
      </c>
      <c r="T55" s="7">
        <f t="shared" si="8"/>
        <v>1</v>
      </c>
      <c r="U55" s="7">
        <f t="shared" si="4"/>
        <v>2.1882528880270344</v>
      </c>
      <c r="V55" s="7">
        <f t="shared" si="9"/>
        <v>1.9258714959232939E-2</v>
      </c>
      <c r="W55" s="7">
        <f t="shared" si="10"/>
        <v>0</v>
      </c>
      <c r="X55" s="8" t="s">
        <v>3</v>
      </c>
      <c r="Y55" s="7">
        <v>-0.79556869619577042</v>
      </c>
      <c r="Z55" s="7">
        <v>1.8059095509259315</v>
      </c>
      <c r="AC55" s="7">
        <f t="shared" si="11"/>
        <v>0.44600859992415076</v>
      </c>
      <c r="AD55" s="7">
        <f t="shared" si="12"/>
        <v>0.38234333710110291</v>
      </c>
      <c r="AE55" s="6" t="s">
        <v>3</v>
      </c>
      <c r="AF55" s="6" t="s">
        <v>3</v>
      </c>
      <c r="AG55" s="6" t="s">
        <v>3</v>
      </c>
      <c r="AH55" s="6" t="s">
        <v>3</v>
      </c>
      <c r="AI55" s="6" t="s">
        <v>3</v>
      </c>
      <c r="AJ55" s="6" t="s">
        <v>3</v>
      </c>
      <c r="AK55" s="5">
        <f t="shared" si="13"/>
        <v>100.5884410288877</v>
      </c>
      <c r="AL55" s="7">
        <f t="shared" si="14"/>
        <v>1.3599009510017808</v>
      </c>
      <c r="AM55" s="7">
        <f t="shared" si="15"/>
        <v>2.1882528880270344</v>
      </c>
    </row>
    <row r="56" spans="10:39" x14ac:dyDescent="0.25">
      <c r="J56" s="3">
        <v>50</v>
      </c>
      <c r="K56" s="7">
        <v>-0.79060344417399464</v>
      </c>
      <c r="L56" s="7">
        <f t="shared" si="5"/>
        <v>1.8164300553377308</v>
      </c>
      <c r="M56" s="7">
        <f t="shared" ca="1" si="0"/>
        <v>1.3778845817873071</v>
      </c>
      <c r="N56" s="7">
        <f t="shared" si="1"/>
        <v>-0.79060344417399464</v>
      </c>
      <c r="O56" s="7">
        <v>1.7040999533617116</v>
      </c>
      <c r="P56" s="7">
        <f t="shared" si="2"/>
        <v>1.8285168553409226</v>
      </c>
      <c r="Q56" s="7">
        <f t="shared" si="6"/>
        <v>0.12441690197921096</v>
      </c>
      <c r="R56" s="7">
        <f t="shared" si="3"/>
        <v>1.3843667814543719</v>
      </c>
      <c r="S56" s="7">
        <f t="shared" si="7"/>
        <v>-2.557865375258718E-2</v>
      </c>
      <c r="T56" s="7">
        <f t="shared" si="8"/>
        <v>1</v>
      </c>
      <c r="U56" s="7">
        <f t="shared" si="4"/>
        <v>2.2078186779024338</v>
      </c>
      <c r="V56" s="7">
        <f t="shared" si="9"/>
        <v>4.7853278831368612E-2</v>
      </c>
      <c r="W56" s="7">
        <f t="shared" si="10"/>
        <v>0</v>
      </c>
      <c r="X56" s="8" t="s">
        <v>3</v>
      </c>
      <c r="Y56" s="7">
        <v>-0.79060344417399464</v>
      </c>
      <c r="Z56" s="7">
        <v>1.8285168553409226</v>
      </c>
      <c r="AC56" s="7">
        <f t="shared" si="11"/>
        <v>0.4441500738865507</v>
      </c>
      <c r="AD56" s="7">
        <f t="shared" si="12"/>
        <v>0.37930182256151124</v>
      </c>
      <c r="AE56" s="6" t="s">
        <v>3</v>
      </c>
      <c r="AF56" s="6" t="s">
        <v>3</v>
      </c>
      <c r="AG56" s="6" t="s">
        <v>3</v>
      </c>
      <c r="AH56" s="6" t="s">
        <v>3</v>
      </c>
      <c r="AI56" s="6" t="s">
        <v>3</v>
      </c>
      <c r="AJ56" s="6" t="s">
        <v>3</v>
      </c>
      <c r="AK56" s="5">
        <f t="shared" si="13"/>
        <v>103.08410853351251</v>
      </c>
      <c r="AL56" s="7">
        <f t="shared" si="14"/>
        <v>1.3843667814543719</v>
      </c>
      <c r="AM56" s="7">
        <f t="shared" si="15"/>
        <v>2.2078186779024338</v>
      </c>
    </row>
    <row r="57" spans="10:39" x14ac:dyDescent="0.25">
      <c r="J57" s="3">
        <v>51</v>
      </c>
      <c r="K57" s="7">
        <v>-0.78993048450688685</v>
      </c>
      <c r="L57" s="7">
        <f t="shared" si="5"/>
        <v>1.8193137550951157</v>
      </c>
      <c r="M57" s="7">
        <f t="shared" ca="1" si="0"/>
        <v>1.544918142032484</v>
      </c>
      <c r="N57" s="7">
        <f t="shared" si="1"/>
        <v>-0.78993048450688685</v>
      </c>
      <c r="O57" s="7">
        <v>1.6119301928360934</v>
      </c>
      <c r="P57" s="7">
        <f t="shared" si="2"/>
        <v>1.831431799131936</v>
      </c>
      <c r="Q57" s="7">
        <f t="shared" si="6"/>
        <v>0.21950160629584259</v>
      </c>
      <c r="R57" s="7">
        <f t="shared" si="3"/>
        <v>1.387552089295305</v>
      </c>
      <c r="S57" s="7">
        <f t="shared" si="7"/>
        <v>-1.7950248283263068E-2</v>
      </c>
      <c r="T57" s="7">
        <f t="shared" si="8"/>
        <v>1</v>
      </c>
      <c r="U57" s="7">
        <f t="shared" si="4"/>
        <v>2.2102663984082032</v>
      </c>
      <c r="V57" s="7">
        <f t="shared" si="9"/>
        <v>5.6841939529350426E-2</v>
      </c>
      <c r="W57" s="7">
        <f t="shared" si="10"/>
        <v>0</v>
      </c>
      <c r="X57" s="8" t="s">
        <v>3</v>
      </c>
      <c r="Y57" s="7">
        <v>-0.78993048450688685</v>
      </c>
      <c r="Z57" s="7">
        <v>1.831431799131936</v>
      </c>
      <c r="AC57" s="7">
        <f t="shared" si="11"/>
        <v>0.44387970983663094</v>
      </c>
      <c r="AD57" s="7">
        <f t="shared" si="12"/>
        <v>0.37883459927626717</v>
      </c>
      <c r="AE57" s="6" t="s">
        <v>3</v>
      </c>
      <c r="AF57" s="6" t="s">
        <v>3</v>
      </c>
      <c r="AG57" s="6" t="s">
        <v>3</v>
      </c>
      <c r="AH57" s="6" t="s">
        <v>3</v>
      </c>
      <c r="AI57" s="6" t="s">
        <v>3</v>
      </c>
      <c r="AJ57" s="6" t="s">
        <v>3</v>
      </c>
      <c r="AK57" s="5">
        <f t="shared" si="13"/>
        <v>103.42235593077621</v>
      </c>
      <c r="AL57" s="7">
        <f t="shared" si="14"/>
        <v>1.387552089295305</v>
      </c>
      <c r="AM57" s="7">
        <f t="shared" si="15"/>
        <v>2.2102663984082032</v>
      </c>
    </row>
    <row r="58" spans="10:39" x14ac:dyDescent="0.25">
      <c r="J58" s="3">
        <v>52</v>
      </c>
      <c r="K58" s="7">
        <v>-0.77969609002334561</v>
      </c>
      <c r="L58" s="7">
        <f t="shared" si="5"/>
        <v>1.8584312377410297</v>
      </c>
      <c r="M58" s="7">
        <f t="shared" ca="1" si="0"/>
        <v>1.7160463346608688</v>
      </c>
      <c r="N58" s="7">
        <f t="shared" si="1"/>
        <v>-0.77969609002334561</v>
      </c>
      <c r="O58" s="7">
        <v>1.8753077603506876</v>
      </c>
      <c r="P58" s="7">
        <f t="shared" si="2"/>
        <v>1.871338969627518</v>
      </c>
      <c r="Q58" s="7">
        <f t="shared" si="6"/>
        <v>-3.9687907231695796E-3</v>
      </c>
      <c r="R58" s="7">
        <f t="shared" si="3"/>
        <v>1.4320694334217932</v>
      </c>
      <c r="S58" s="7">
        <f t="shared" si="7"/>
        <v>-3.5459066154311554E-2</v>
      </c>
      <c r="T58" s="7">
        <f t="shared" si="8"/>
        <v>1</v>
      </c>
      <c r="U58" s="7">
        <f t="shared" si="4"/>
        <v>2.2416212146987591</v>
      </c>
      <c r="V58" s="7">
        <f t="shared" si="9"/>
        <v>3.4799778163066793E-2</v>
      </c>
      <c r="W58" s="7">
        <f t="shared" si="10"/>
        <v>0</v>
      </c>
      <c r="X58" s="8" t="s">
        <v>3</v>
      </c>
      <c r="Y58" s="7">
        <v>-0.77969609002334561</v>
      </c>
      <c r="Z58" s="7">
        <v>1.871338969627518</v>
      </c>
      <c r="AC58" s="7">
        <f t="shared" si="11"/>
        <v>0.43926953620572484</v>
      </c>
      <c r="AD58" s="7">
        <f t="shared" si="12"/>
        <v>0.37028224507124108</v>
      </c>
      <c r="AE58" s="6" t="s">
        <v>3</v>
      </c>
      <c r="AF58" s="6" t="s">
        <v>3</v>
      </c>
      <c r="AG58" s="6" t="s">
        <v>3</v>
      </c>
      <c r="AH58" s="6" t="s">
        <v>3</v>
      </c>
      <c r="AI58" s="6" t="s">
        <v>3</v>
      </c>
      <c r="AJ58" s="6" t="s">
        <v>3</v>
      </c>
      <c r="AK58" s="5">
        <f t="shared" si="13"/>
        <v>108.56643434413144</v>
      </c>
      <c r="AL58" s="7">
        <f t="shared" si="14"/>
        <v>1.4320694334217932</v>
      </c>
      <c r="AM58" s="7">
        <f t="shared" si="15"/>
        <v>2.2416212146987591</v>
      </c>
    </row>
    <row r="59" spans="10:39" x14ac:dyDescent="0.25">
      <c r="J59" s="3">
        <v>53</v>
      </c>
      <c r="K59" s="7">
        <v>-0.77900559271646896</v>
      </c>
      <c r="L59" s="7">
        <f t="shared" si="5"/>
        <v>1.8607523871197631</v>
      </c>
      <c r="M59" s="7">
        <f t="shared" ca="1" si="0"/>
        <v>1.657507932854801</v>
      </c>
      <c r="N59" s="7">
        <f t="shared" si="1"/>
        <v>-0.77900559271646896</v>
      </c>
      <c r="O59" s="7">
        <v>2.2333883666555194</v>
      </c>
      <c r="P59" s="7">
        <f t="shared" si="2"/>
        <v>1.8737310666114941</v>
      </c>
      <c r="Q59" s="7">
        <f t="shared" si="6"/>
        <v>-0.3596573000440253</v>
      </c>
      <c r="R59" s="7">
        <f t="shared" si="3"/>
        <v>1.4348039522246139</v>
      </c>
      <c r="S59" s="7">
        <f t="shared" si="7"/>
        <v>-6.3886753154472439E-2</v>
      </c>
      <c r="T59" s="7">
        <f t="shared" si="8"/>
        <v>1</v>
      </c>
      <c r="U59" s="7">
        <f t="shared" si="4"/>
        <v>2.2433475131683482</v>
      </c>
      <c r="V59" s="7">
        <f t="shared" si="9"/>
        <v>9.4611891871873685E-4</v>
      </c>
      <c r="W59" s="7">
        <f t="shared" si="10"/>
        <v>0</v>
      </c>
      <c r="X59" s="8" t="s">
        <v>3</v>
      </c>
      <c r="Y59" s="7">
        <v>-0.77900559271646896</v>
      </c>
      <c r="Z59" s="7">
        <v>1.8737310666114941</v>
      </c>
      <c r="AC59" s="7">
        <f t="shared" si="11"/>
        <v>0.43892711438688026</v>
      </c>
      <c r="AD59" s="7">
        <f t="shared" si="12"/>
        <v>0.36961644655685411</v>
      </c>
      <c r="AE59" s="6" t="s">
        <v>3</v>
      </c>
      <c r="AF59" s="6" t="s">
        <v>3</v>
      </c>
      <c r="AG59" s="6" t="s">
        <v>3</v>
      </c>
      <c r="AH59" s="6" t="s">
        <v>3</v>
      </c>
      <c r="AI59" s="6" t="s">
        <v>3</v>
      </c>
      <c r="AJ59" s="6" t="s">
        <v>3</v>
      </c>
      <c r="AK59" s="5">
        <f t="shared" si="13"/>
        <v>108.91349662480631</v>
      </c>
      <c r="AL59" s="7">
        <f t="shared" si="14"/>
        <v>1.4348039522246139</v>
      </c>
      <c r="AM59" s="7">
        <f t="shared" si="15"/>
        <v>2.2433475131683482</v>
      </c>
    </row>
    <row r="60" spans="10:39" x14ac:dyDescent="0.25">
      <c r="J60" s="3">
        <v>54</v>
      </c>
      <c r="K60" s="7">
        <v>-0.77676494446151012</v>
      </c>
      <c r="L60" s="7">
        <f t="shared" si="5"/>
        <v>1.8680100215559514</v>
      </c>
      <c r="M60" s="7">
        <f t="shared" ca="1" si="0"/>
        <v>1.7104850800499591</v>
      </c>
      <c r="N60" s="7">
        <f t="shared" si="1"/>
        <v>-0.77676494446151012</v>
      </c>
      <c r="O60" s="7">
        <v>2.0102473762843518</v>
      </c>
      <c r="P60" s="7">
        <f t="shared" si="2"/>
        <v>1.8812307109334885</v>
      </c>
      <c r="Q60" s="7">
        <f t="shared" si="6"/>
        <v>-0.12901666535086331</v>
      </c>
      <c r="R60" s="7">
        <f t="shared" si="3"/>
        <v>1.4434397319019256</v>
      </c>
      <c r="S60" s="7">
        <f t="shared" si="7"/>
        <v>-4.5344611550594091E-2</v>
      </c>
      <c r="T60" s="7">
        <f t="shared" si="8"/>
        <v>1</v>
      </c>
      <c r="U60" s="7">
        <f t="shared" si="4"/>
        <v>2.2486185910798482</v>
      </c>
      <c r="V60" s="7">
        <f t="shared" si="9"/>
        <v>2.2645265405572157E-2</v>
      </c>
      <c r="W60" s="7">
        <f t="shared" si="10"/>
        <v>0</v>
      </c>
      <c r="X60" s="8" t="s">
        <v>3</v>
      </c>
      <c r="Y60" s="7">
        <v>-0.77676494446151012</v>
      </c>
      <c r="Z60" s="7">
        <v>1.8812307109334885</v>
      </c>
      <c r="AC60" s="7">
        <f t="shared" si="11"/>
        <v>0.43779097903156283</v>
      </c>
      <c r="AD60" s="7">
        <f t="shared" si="12"/>
        <v>0.3673878801463597</v>
      </c>
      <c r="AE60" s="6" t="s">
        <v>3</v>
      </c>
      <c r="AF60" s="6" t="s">
        <v>3</v>
      </c>
      <c r="AG60" s="6" t="s">
        <v>3</v>
      </c>
      <c r="AH60" s="6" t="s">
        <v>3</v>
      </c>
      <c r="AI60" s="6" t="s">
        <v>3</v>
      </c>
      <c r="AJ60" s="6" t="s">
        <v>3</v>
      </c>
      <c r="AK60" s="5">
        <f t="shared" si="13"/>
        <v>110.03970593194137</v>
      </c>
      <c r="AL60" s="7">
        <f t="shared" si="14"/>
        <v>1.4434397319019256</v>
      </c>
      <c r="AM60" s="7">
        <f t="shared" si="15"/>
        <v>2.2486185910798482</v>
      </c>
    </row>
    <row r="61" spans="10:39" x14ac:dyDescent="0.25">
      <c r="J61" s="3">
        <v>55</v>
      </c>
      <c r="K61" s="7">
        <v>-0.7667496034189738</v>
      </c>
      <c r="L61" s="7">
        <f t="shared" si="5"/>
        <v>1.8953761329499883</v>
      </c>
      <c r="M61" s="7">
        <f t="shared" ca="1" si="0"/>
        <v>1.8779131453633413</v>
      </c>
      <c r="N61" s="7">
        <f t="shared" si="1"/>
        <v>-0.7667496034189738</v>
      </c>
      <c r="O61" s="7">
        <v>1.9325642307153914</v>
      </c>
      <c r="P61" s="7">
        <f t="shared" si="2"/>
        <v>1.9098320843092242</v>
      </c>
      <c r="Q61" s="7">
        <f t="shared" si="6"/>
        <v>-2.2732146406167164E-2</v>
      </c>
      <c r="R61" s="7">
        <f t="shared" si="3"/>
        <v>1.4775419423669631</v>
      </c>
      <c r="S61" s="7">
        <f t="shared" si="7"/>
        <v>-3.6401783067874262E-2</v>
      </c>
      <c r="T61" s="7">
        <f t="shared" si="8"/>
        <v>1</v>
      </c>
      <c r="U61" s="7">
        <f t="shared" si="4"/>
        <v>2.2661639125256334</v>
      </c>
      <c r="V61" s="7">
        <f t="shared" si="9"/>
        <v>3.1691969771972993E-2</v>
      </c>
      <c r="W61" s="7">
        <f t="shared" si="10"/>
        <v>0</v>
      </c>
      <c r="X61" s="8" t="s">
        <v>3</v>
      </c>
      <c r="Y61" s="7">
        <v>-0.7667496034189738</v>
      </c>
      <c r="Z61" s="7">
        <v>1.9098320843092242</v>
      </c>
      <c r="AC61" s="7">
        <f t="shared" si="11"/>
        <v>0.43229014194226112</v>
      </c>
      <c r="AD61" s="7">
        <f t="shared" si="12"/>
        <v>0.35633182821640919</v>
      </c>
      <c r="AE61" s="6" t="s">
        <v>3</v>
      </c>
      <c r="AF61" s="6" t="s">
        <v>3</v>
      </c>
      <c r="AG61" s="6" t="s">
        <v>3</v>
      </c>
      <c r="AH61" s="6" t="s">
        <v>3</v>
      </c>
      <c r="AI61" s="6" t="s">
        <v>3</v>
      </c>
      <c r="AJ61" s="6" t="s">
        <v>3</v>
      </c>
      <c r="AK61" s="5">
        <f t="shared" si="13"/>
        <v>115.07368226949164</v>
      </c>
      <c r="AL61" s="7">
        <f t="shared" si="14"/>
        <v>1.4775419423669631</v>
      </c>
      <c r="AM61" s="7">
        <f t="shared" si="15"/>
        <v>2.2661639125256334</v>
      </c>
    </row>
    <row r="62" spans="10:39" x14ac:dyDescent="0.25">
      <c r="J62" s="3">
        <v>56</v>
      </c>
      <c r="K62" s="7">
        <v>-0.76633661175365764</v>
      </c>
      <c r="L62" s="7">
        <f t="shared" si="5"/>
        <v>1.8963286230870207</v>
      </c>
      <c r="M62" s="7">
        <f t="shared" ca="1" si="0"/>
        <v>1.8706397899353413</v>
      </c>
      <c r="N62" s="7">
        <f t="shared" si="1"/>
        <v>-0.76633661175365764</v>
      </c>
      <c r="O62" s="7">
        <v>1.3502926539723989</v>
      </c>
      <c r="P62" s="7">
        <f t="shared" si="2"/>
        <v>1.9108386096704213</v>
      </c>
      <c r="Q62" s="7">
        <f t="shared" si="6"/>
        <v>0.56054595569802235</v>
      </c>
      <c r="R62" s="7">
        <f t="shared" si="3"/>
        <v>1.4787885744837699</v>
      </c>
      <c r="S62" s="7">
        <f t="shared" si="7"/>
        <v>0.11821624687046126</v>
      </c>
      <c r="T62" s="7">
        <f t="shared" si="8"/>
        <v>0</v>
      </c>
      <c r="U62" s="7">
        <f t="shared" si="4"/>
        <v>2.2666823050554243</v>
      </c>
      <c r="V62" s="7">
        <f t="shared" si="9"/>
        <v>8.7057016852887414E-2</v>
      </c>
      <c r="W62" s="7">
        <f t="shared" si="10"/>
        <v>0</v>
      </c>
      <c r="X62" s="8" t="s">
        <v>3</v>
      </c>
      <c r="Y62" s="7">
        <v>-0.76633661175365764</v>
      </c>
      <c r="Z62" s="7">
        <v>1.9108386096704213</v>
      </c>
      <c r="AC62" s="7">
        <f t="shared" si="11"/>
        <v>0.43205003518665142</v>
      </c>
      <c r="AD62" s="7">
        <f t="shared" si="12"/>
        <v>0.35584369538500304</v>
      </c>
      <c r="AE62" s="6" t="s">
        <v>3</v>
      </c>
      <c r="AF62" s="6" t="s">
        <v>3</v>
      </c>
      <c r="AG62" s="6" t="s">
        <v>3</v>
      </c>
      <c r="AH62" s="6" t="s">
        <v>3</v>
      </c>
      <c r="AI62" s="6" t="s">
        <v>3</v>
      </c>
      <c r="AJ62" s="6" t="s">
        <v>3</v>
      </c>
      <c r="AK62" s="5">
        <f t="shared" si="13"/>
        <v>115.28126284632644</v>
      </c>
      <c r="AL62" s="7">
        <f t="shared" si="14"/>
        <v>1.4787885744837699</v>
      </c>
      <c r="AM62" s="7">
        <f t="shared" si="15"/>
        <v>2.2666823050554243</v>
      </c>
    </row>
    <row r="63" spans="10:39" x14ac:dyDescent="0.25">
      <c r="J63" s="3">
        <v>57</v>
      </c>
      <c r="K63" s="7">
        <v>-0.76423486794703943</v>
      </c>
      <c r="L63" s="7">
        <f t="shared" si="5"/>
        <v>1.9009626927158276</v>
      </c>
      <c r="M63" s="7">
        <f t="shared" ca="1" si="0"/>
        <v>1.5687418943742022</v>
      </c>
      <c r="N63" s="7">
        <f t="shared" si="1"/>
        <v>-0.76423486794703943</v>
      </c>
      <c r="O63" s="7">
        <v>1.8323221087640491</v>
      </c>
      <c r="P63" s="7">
        <f t="shared" si="2"/>
        <v>1.9157487133779549</v>
      </c>
      <c r="Q63" s="7">
        <f t="shared" si="6"/>
        <v>8.342660461390583E-2</v>
      </c>
      <c r="R63" s="7">
        <f t="shared" si="3"/>
        <v>1.4849349847273685</v>
      </c>
      <c r="S63" s="7">
        <f t="shared" si="7"/>
        <v>-2.779096992293445E-2</v>
      </c>
      <c r="T63" s="7">
        <f t="shared" si="8"/>
        <v>1</v>
      </c>
      <c r="U63" s="7">
        <f t="shared" si="4"/>
        <v>2.2690762966813738</v>
      </c>
      <c r="V63" s="7">
        <f t="shared" si="9"/>
        <v>4.1491647852145846E-2</v>
      </c>
      <c r="W63" s="7">
        <f t="shared" si="10"/>
        <v>0</v>
      </c>
      <c r="X63" s="8" t="s">
        <v>3</v>
      </c>
      <c r="Y63" s="7">
        <v>-0.76423486794703943</v>
      </c>
      <c r="Z63" s="7">
        <v>1.9157487133779549</v>
      </c>
      <c r="AC63" s="7">
        <f t="shared" si="11"/>
        <v>0.43081372865058642</v>
      </c>
      <c r="AD63" s="7">
        <f t="shared" si="12"/>
        <v>0.35332758330341885</v>
      </c>
      <c r="AE63" s="6" t="s">
        <v>3</v>
      </c>
      <c r="AF63" s="6" t="s">
        <v>3</v>
      </c>
      <c r="AG63" s="6" t="s">
        <v>3</v>
      </c>
      <c r="AH63" s="6" t="s">
        <v>3</v>
      </c>
      <c r="AI63" s="6" t="s">
        <v>3</v>
      </c>
      <c r="AJ63" s="6" t="s">
        <v>3</v>
      </c>
      <c r="AK63" s="5">
        <f t="shared" si="13"/>
        <v>116.33765508950357</v>
      </c>
      <c r="AL63" s="7">
        <f t="shared" si="14"/>
        <v>1.4849349847273685</v>
      </c>
      <c r="AM63" s="7">
        <f t="shared" si="15"/>
        <v>2.2690762966813738</v>
      </c>
    </row>
    <row r="64" spans="10:39" x14ac:dyDescent="0.25">
      <c r="J64" s="3">
        <v>58</v>
      </c>
      <c r="K64" s="7">
        <v>-0.76162026425399332</v>
      </c>
      <c r="L64" s="7">
        <f t="shared" si="5"/>
        <v>1.9062329086398679</v>
      </c>
      <c r="M64" s="7">
        <f t="shared" ca="1" si="0"/>
        <v>2.053964196244503</v>
      </c>
      <c r="N64" s="7">
        <f t="shared" si="1"/>
        <v>-0.76162026425399332</v>
      </c>
      <c r="O64" s="7">
        <v>2.1095500011907937</v>
      </c>
      <c r="P64" s="7">
        <f t="shared" si="2"/>
        <v>1.9213621609242886</v>
      </c>
      <c r="Q64" s="7">
        <f t="shared" si="6"/>
        <v>-0.18818784026650515</v>
      </c>
      <c r="R64" s="7">
        <f t="shared" si="3"/>
        <v>1.4921181469667071</v>
      </c>
      <c r="S64" s="7">
        <f t="shared" si="7"/>
        <v>-4.9394548337926933E-2</v>
      </c>
      <c r="T64" s="7">
        <f t="shared" si="8"/>
        <v>1</v>
      </c>
      <c r="U64" s="7">
        <f t="shared" si="4"/>
        <v>2.2714923285474433</v>
      </c>
      <c r="V64" s="7">
        <f t="shared" si="9"/>
        <v>1.5384521098881712E-2</v>
      </c>
      <c r="W64" s="7">
        <f t="shared" si="10"/>
        <v>0</v>
      </c>
      <c r="X64" s="8" t="s">
        <v>3</v>
      </c>
      <c r="Y64" s="7">
        <v>-0.76162026425399332</v>
      </c>
      <c r="Z64" s="7">
        <v>1.9213621609242886</v>
      </c>
      <c r="AC64" s="7">
        <f t="shared" si="11"/>
        <v>0.42924401395758149</v>
      </c>
      <c r="AD64" s="7">
        <f t="shared" si="12"/>
        <v>0.35013016762315474</v>
      </c>
      <c r="AE64" s="6" t="s">
        <v>3</v>
      </c>
      <c r="AF64" s="6" t="s">
        <v>3</v>
      </c>
      <c r="AG64" s="6" t="s">
        <v>3</v>
      </c>
      <c r="AH64" s="6" t="s">
        <v>3</v>
      </c>
      <c r="AI64" s="6" t="s">
        <v>3</v>
      </c>
      <c r="AJ64" s="6" t="s">
        <v>3</v>
      </c>
      <c r="AK64" s="5">
        <f t="shared" si="13"/>
        <v>117.65182432916959</v>
      </c>
      <c r="AL64" s="7">
        <f t="shared" si="14"/>
        <v>1.4921181469667071</v>
      </c>
      <c r="AM64" s="7">
        <f t="shared" si="15"/>
        <v>2.2714923285474433</v>
      </c>
    </row>
    <row r="65" spans="10:39" x14ac:dyDescent="0.25">
      <c r="J65" s="3">
        <v>59</v>
      </c>
      <c r="K65" s="7">
        <v>-0.75830661772029262</v>
      </c>
      <c r="L65" s="7">
        <f t="shared" si="5"/>
        <v>1.9121315305805751</v>
      </c>
      <c r="M65" s="7">
        <f t="shared" ca="1" si="0"/>
        <v>1.9487796342349808</v>
      </c>
      <c r="N65" s="7">
        <f t="shared" si="1"/>
        <v>-0.75830661772029262</v>
      </c>
      <c r="O65" s="7">
        <v>2.3118745290301455</v>
      </c>
      <c r="P65" s="7">
        <f t="shared" si="2"/>
        <v>1.9276891218299217</v>
      </c>
      <c r="Q65" s="7">
        <f t="shared" si="6"/>
        <v>-0.38418540720022376</v>
      </c>
      <c r="R65" s="7">
        <f t="shared" si="3"/>
        <v>1.5004804559352625</v>
      </c>
      <c r="S65" s="7">
        <f t="shared" si="7"/>
        <v>-6.4911525847590634E-2</v>
      </c>
      <c r="T65" s="7">
        <f t="shared" si="8"/>
        <v>1</v>
      </c>
      <c r="U65" s="7">
        <f t="shared" si="4"/>
        <v>2.273677805017996</v>
      </c>
      <c r="V65" s="7">
        <f t="shared" si="9"/>
        <v>-3.4568035230995268E-2</v>
      </c>
      <c r="W65" s="7">
        <f t="shared" si="10"/>
        <v>1</v>
      </c>
      <c r="X65" s="8" t="s">
        <v>3</v>
      </c>
      <c r="Y65" s="7">
        <v>-0.75830661772029262</v>
      </c>
      <c r="Z65" s="7">
        <v>1.9276891218299217</v>
      </c>
      <c r="AC65" s="7">
        <f t="shared" si="11"/>
        <v>0.42720866589465922</v>
      </c>
      <c r="AD65" s="7">
        <f t="shared" si="12"/>
        <v>0.3459886831880743</v>
      </c>
      <c r="AE65" s="6" t="s">
        <v>3</v>
      </c>
      <c r="AF65" s="6" t="s">
        <v>3</v>
      </c>
      <c r="AG65" s="6" t="s">
        <v>3</v>
      </c>
      <c r="AH65" s="6" t="s">
        <v>3</v>
      </c>
      <c r="AI65" s="6" t="s">
        <v>3</v>
      </c>
      <c r="AJ65" s="6" t="s">
        <v>3</v>
      </c>
      <c r="AK65" s="5">
        <f t="shared" si="13"/>
        <v>119.31735106169018</v>
      </c>
      <c r="AL65" s="7">
        <f t="shared" si="14"/>
        <v>1.5004804559352625</v>
      </c>
      <c r="AM65" s="7">
        <f t="shared" si="15"/>
        <v>2.273677805017996</v>
      </c>
    </row>
    <row r="66" spans="10:39" x14ac:dyDescent="0.25">
      <c r="J66" s="3">
        <v>60</v>
      </c>
      <c r="K66" s="7">
        <v>-0.74753194675745438</v>
      </c>
      <c r="L66" s="7">
        <f t="shared" si="5"/>
        <v>1.9254063462983597</v>
      </c>
      <c r="M66" s="7">
        <f t="shared" ca="1" si="0"/>
        <v>1.4946931630850355</v>
      </c>
      <c r="N66" s="7">
        <f t="shared" si="1"/>
        <v>-0.74753194675745438</v>
      </c>
      <c r="O66" s="7">
        <v>1.6388578276292063</v>
      </c>
      <c r="P66" s="7">
        <f t="shared" si="2"/>
        <v>1.9422056642614032</v>
      </c>
      <c r="Q66" s="7">
        <f t="shared" si="6"/>
        <v>0.30334783663219689</v>
      </c>
      <c r="R66" s="7">
        <f t="shared" si="3"/>
        <v>1.5218963218540711</v>
      </c>
      <c r="S66" s="7">
        <f t="shared" si="7"/>
        <v>-9.3569204620108162E-3</v>
      </c>
      <c r="T66" s="7">
        <f t="shared" si="8"/>
        <v>1</v>
      </c>
      <c r="U66" s="7">
        <f t="shared" si="4"/>
        <v>2.2743246141351472</v>
      </c>
      <c r="V66" s="7">
        <f t="shared" si="9"/>
        <v>6.0369344718064384E-2</v>
      </c>
      <c r="W66" s="7">
        <f t="shared" si="10"/>
        <v>0</v>
      </c>
      <c r="X66" s="8" t="s">
        <v>3</v>
      </c>
      <c r="Y66" s="7">
        <v>-0.74753194675745438</v>
      </c>
      <c r="Z66" s="7">
        <v>1.9422056642614032</v>
      </c>
      <c r="AC66" s="7">
        <f t="shared" si="11"/>
        <v>0.42030934240733209</v>
      </c>
      <c r="AD66" s="7">
        <f t="shared" si="12"/>
        <v>0.33211894987374402</v>
      </c>
      <c r="AE66" s="6" t="s">
        <v>3</v>
      </c>
      <c r="AF66" s="6" t="s">
        <v>3</v>
      </c>
      <c r="AG66" s="6" t="s">
        <v>3</v>
      </c>
      <c r="AH66" s="6" t="s">
        <v>3</v>
      </c>
      <c r="AI66" s="6" t="s">
        <v>3</v>
      </c>
      <c r="AJ66" s="6" t="s">
        <v>3</v>
      </c>
      <c r="AK66" s="5">
        <f t="shared" si="13"/>
        <v>124.73298677908177</v>
      </c>
      <c r="AL66" s="7">
        <f t="shared" si="14"/>
        <v>1.5218963218540711</v>
      </c>
      <c r="AM66" s="7">
        <f t="shared" si="15"/>
        <v>2.2743246141351472</v>
      </c>
    </row>
    <row r="67" spans="10:39" x14ac:dyDescent="0.25">
      <c r="J67" s="3">
        <v>61</v>
      </c>
      <c r="K67" s="7">
        <v>-0.74709892911016262</v>
      </c>
      <c r="L67" s="7">
        <f t="shared" si="5"/>
        <v>1.9257547984229773</v>
      </c>
      <c r="M67" s="7">
        <f t="shared" ca="1" si="0"/>
        <v>2.0837994132360436</v>
      </c>
      <c r="N67" s="7">
        <f t="shared" si="1"/>
        <v>-0.74709892911016262</v>
      </c>
      <c r="O67" s="7">
        <v>1.8717023281310874</v>
      </c>
      <c r="P67" s="7">
        <f t="shared" si="2"/>
        <v>1.9425965252198676</v>
      </c>
      <c r="Q67" s="7">
        <f t="shared" si="6"/>
        <v>7.0894197088780198E-2</v>
      </c>
      <c r="R67" s="7">
        <f t="shared" si="3"/>
        <v>1.5225713975477253</v>
      </c>
      <c r="S67" s="7">
        <f t="shared" si="7"/>
        <v>-2.7930474446668966E-2</v>
      </c>
      <c r="T67" s="7">
        <f t="shared" si="8"/>
        <v>1</v>
      </c>
      <c r="U67" s="7">
        <f t="shared" si="4"/>
        <v>2.2741529657141455</v>
      </c>
      <c r="V67" s="7">
        <f t="shared" si="9"/>
        <v>3.8232810570390519E-2</v>
      </c>
      <c r="W67" s="7">
        <f t="shared" si="10"/>
        <v>0</v>
      </c>
      <c r="X67" s="8" t="s">
        <v>3</v>
      </c>
      <c r="Y67" s="7">
        <v>-0.74709892911016262</v>
      </c>
      <c r="Z67" s="7">
        <v>1.9425965252198676</v>
      </c>
      <c r="AC67" s="7">
        <f t="shared" si="11"/>
        <v>0.42002512767214228</v>
      </c>
      <c r="AD67" s="7">
        <f t="shared" si="12"/>
        <v>0.3315564404942779</v>
      </c>
      <c r="AE67" s="6" t="s">
        <v>3</v>
      </c>
      <c r="AF67" s="6" t="s">
        <v>3</v>
      </c>
      <c r="AG67" s="6" t="s">
        <v>3</v>
      </c>
      <c r="AH67" s="6" t="s">
        <v>3</v>
      </c>
      <c r="AI67" s="6" t="s">
        <v>3</v>
      </c>
      <c r="AJ67" s="6" t="s">
        <v>3</v>
      </c>
      <c r="AK67" s="5">
        <f t="shared" si="13"/>
        <v>124.95063294619187</v>
      </c>
      <c r="AL67" s="7">
        <f t="shared" si="14"/>
        <v>1.5225713975477253</v>
      </c>
      <c r="AM67" s="7">
        <f t="shared" si="15"/>
        <v>2.2741529657141455</v>
      </c>
    </row>
    <row r="68" spans="10:39" x14ac:dyDescent="0.25">
      <c r="J68" s="3">
        <v>62</v>
      </c>
      <c r="K68" s="7">
        <v>-0.7449003338632032</v>
      </c>
      <c r="L68" s="7">
        <f t="shared" si="5"/>
        <v>1.9273077654457518</v>
      </c>
      <c r="M68" s="7">
        <f t="shared" ca="1" si="0"/>
        <v>1.7058161745711151</v>
      </c>
      <c r="N68" s="7">
        <f t="shared" si="1"/>
        <v>-0.7449003338632032</v>
      </c>
      <c r="O68" s="7">
        <v>1.6663956495775687</v>
      </c>
      <c r="P68" s="7">
        <f t="shared" si="2"/>
        <v>1.9443530814112577</v>
      </c>
      <c r="Q68" s="7">
        <f t="shared" si="6"/>
        <v>0.27795743183368904</v>
      </c>
      <c r="R68" s="7">
        <f t="shared" si="3"/>
        <v>1.5257770582685466</v>
      </c>
      <c r="S68" s="7">
        <f t="shared" si="7"/>
        <v>-1.1249487304721768E-2</v>
      </c>
      <c r="T68" s="7">
        <f t="shared" si="8"/>
        <v>1</v>
      </c>
      <c r="U68" s="7">
        <f t="shared" si="4"/>
        <v>2.2730556960088699</v>
      </c>
      <c r="V68" s="7">
        <f t="shared" si="9"/>
        <v>5.7632704410973616E-2</v>
      </c>
      <c r="W68" s="7">
        <f t="shared" si="10"/>
        <v>0</v>
      </c>
      <c r="X68" s="8" t="s">
        <v>3</v>
      </c>
      <c r="Y68" s="7">
        <v>-0.7449003338632032</v>
      </c>
      <c r="Z68" s="7">
        <v>1.9443530814112577</v>
      </c>
      <c r="AC68" s="7">
        <f t="shared" si="11"/>
        <v>0.41857602314271114</v>
      </c>
      <c r="AD68" s="7">
        <f t="shared" si="12"/>
        <v>0.32870261459761219</v>
      </c>
      <c r="AE68" s="6" t="s">
        <v>3</v>
      </c>
      <c r="AF68" s="6" t="s">
        <v>3</v>
      </c>
      <c r="AG68" s="6" t="s">
        <v>3</v>
      </c>
      <c r="AH68" s="6" t="s">
        <v>3</v>
      </c>
      <c r="AI68" s="6" t="s">
        <v>3</v>
      </c>
      <c r="AJ68" s="6" t="s">
        <v>3</v>
      </c>
      <c r="AK68" s="5">
        <f t="shared" si="13"/>
        <v>126.05570529490556</v>
      </c>
      <c r="AL68" s="7">
        <f t="shared" si="14"/>
        <v>1.5257770582685466</v>
      </c>
      <c r="AM68" s="7">
        <f t="shared" si="15"/>
        <v>2.2730556960088699</v>
      </c>
    </row>
    <row r="69" spans="10:39" x14ac:dyDescent="0.25">
      <c r="J69" s="3">
        <v>63</v>
      </c>
      <c r="K69" s="7">
        <v>-0.74316735635338893</v>
      </c>
      <c r="L69" s="7">
        <f t="shared" si="5"/>
        <v>1.9282789227157491</v>
      </c>
      <c r="M69" s="7">
        <f t="shared" ca="1" si="0"/>
        <v>1.9938966920323986</v>
      </c>
      <c r="N69" s="7">
        <f t="shared" si="1"/>
        <v>-0.74316735635338893</v>
      </c>
      <c r="O69" s="7">
        <v>1.8463197364923534</v>
      </c>
      <c r="P69" s="7">
        <f t="shared" si="2"/>
        <v>1.945469868152</v>
      </c>
      <c r="Q69" s="7">
        <f t="shared" si="6"/>
        <v>9.915013165964659E-2</v>
      </c>
      <c r="R69" s="7">
        <f t="shared" si="3"/>
        <v>1.5280423206318763</v>
      </c>
      <c r="S69" s="7">
        <f t="shared" si="7"/>
        <v>-2.5462193268838168E-2</v>
      </c>
      <c r="T69" s="7">
        <f t="shared" si="8"/>
        <v>1</v>
      </c>
      <c r="U69" s="7">
        <f t="shared" si="4"/>
        <v>2.2719287824873406</v>
      </c>
      <c r="V69" s="7">
        <f t="shared" si="9"/>
        <v>4.0432859369523795E-2</v>
      </c>
      <c r="W69" s="7">
        <f t="shared" si="10"/>
        <v>0</v>
      </c>
      <c r="X69" s="8" t="s">
        <v>3</v>
      </c>
      <c r="Y69" s="7">
        <v>-0.74316735635338893</v>
      </c>
      <c r="Z69" s="7">
        <v>1.945469868152</v>
      </c>
      <c r="AC69" s="7">
        <f t="shared" si="11"/>
        <v>0.41742754752012368</v>
      </c>
      <c r="AD69" s="7">
        <f t="shared" si="12"/>
        <v>0.32645891433534069</v>
      </c>
      <c r="AE69" s="6" t="s">
        <v>3</v>
      </c>
      <c r="AF69" s="6" t="s">
        <v>3</v>
      </c>
      <c r="AG69" s="6" t="s">
        <v>3</v>
      </c>
      <c r="AH69" s="6" t="s">
        <v>3</v>
      </c>
      <c r="AI69" s="6" t="s">
        <v>3</v>
      </c>
      <c r="AJ69" s="6" t="s">
        <v>3</v>
      </c>
      <c r="AK69" s="5">
        <f t="shared" si="13"/>
        <v>126.92674580574399</v>
      </c>
      <c r="AL69" s="7">
        <f t="shared" si="14"/>
        <v>1.5280423206318763</v>
      </c>
      <c r="AM69" s="7">
        <f t="shared" si="15"/>
        <v>2.2719287824873406</v>
      </c>
    </row>
    <row r="70" spans="10:39" x14ac:dyDescent="0.25">
      <c r="J70" s="3">
        <v>64</v>
      </c>
      <c r="K70" s="7">
        <v>-0.73920795298110353</v>
      </c>
      <c r="L70" s="7">
        <f t="shared" si="5"/>
        <v>1.9296717046845577</v>
      </c>
      <c r="M70" s="7">
        <f t="shared" ca="1" si="0"/>
        <v>1.8238242901281638</v>
      </c>
      <c r="N70" s="7">
        <f t="shared" si="1"/>
        <v>-0.73920795298110353</v>
      </c>
      <c r="O70" s="7">
        <v>2.3415838726301148</v>
      </c>
      <c r="P70" s="7">
        <f t="shared" si="2"/>
        <v>1.9471403439168344</v>
      </c>
      <c r="Q70" s="7">
        <f t="shared" si="6"/>
        <v>-0.39444352871328037</v>
      </c>
      <c r="R70" s="7">
        <f t="shared" si="3"/>
        <v>1.5323524446884658</v>
      </c>
      <c r="S70" s="7">
        <f t="shared" si="7"/>
        <v>-6.4738514235331918E-2</v>
      </c>
      <c r="T70" s="7">
        <f t="shared" si="8"/>
        <v>1</v>
      </c>
      <c r="U70" s="7">
        <f t="shared" si="4"/>
        <v>2.2685101193255615</v>
      </c>
      <c r="V70" s="7">
        <f t="shared" si="9"/>
        <v>-6.6131746740620778E-2</v>
      </c>
      <c r="W70" s="7">
        <f t="shared" si="10"/>
        <v>1</v>
      </c>
      <c r="X70" s="8" t="s">
        <v>3</v>
      </c>
      <c r="Y70" s="7">
        <v>-0.73920795298110353</v>
      </c>
      <c r="Z70" s="7">
        <v>1.9471403439168344</v>
      </c>
      <c r="AC70" s="7">
        <f t="shared" si="11"/>
        <v>0.41478789922836867</v>
      </c>
      <c r="AD70" s="7">
        <f t="shared" si="12"/>
        <v>0.32136977540872702</v>
      </c>
      <c r="AE70" s="6" t="s">
        <v>3</v>
      </c>
      <c r="AF70" s="6" t="s">
        <v>3</v>
      </c>
      <c r="AG70" s="6" t="s">
        <v>3</v>
      </c>
      <c r="AH70" s="6" t="s">
        <v>3</v>
      </c>
      <c r="AI70" s="6" t="s">
        <v>3</v>
      </c>
      <c r="AJ70" s="6" t="s">
        <v>3</v>
      </c>
      <c r="AK70" s="5">
        <f t="shared" si="13"/>
        <v>128.91684707161698</v>
      </c>
      <c r="AL70" s="7">
        <f t="shared" si="14"/>
        <v>1.5323524446884658</v>
      </c>
      <c r="AM70" s="7">
        <f t="shared" si="15"/>
        <v>2.2685101193255615</v>
      </c>
    </row>
    <row r="71" spans="10:39" x14ac:dyDescent="0.25">
      <c r="J71" s="3">
        <v>65</v>
      </c>
      <c r="K71" s="7">
        <v>-0.73270392593249456</v>
      </c>
      <c r="L71" s="7">
        <f t="shared" si="5"/>
        <v>1.9295164440934691</v>
      </c>
      <c r="M71" s="7">
        <f t="shared" ref="M71:M134" ca="1" si="21">L71+0.9*_xlfn.NORM.INV(RAND(),0,0.1)+0.1*_xlfn.NORM.INV(RAND(),0,2)</f>
        <v>1.9225628955774561</v>
      </c>
      <c r="N71" s="7">
        <f t="shared" ref="N71:N134" si="22">K71</f>
        <v>-0.73270392593249456</v>
      </c>
      <c r="O71" s="7">
        <v>2.18707049709576</v>
      </c>
      <c r="P71" s="7">
        <f t="shared" ref="P71:P134" si="23">AG$8+AG$9*TANH(AG$10+AG$11*TANH(AG$12+AG$13*N71)+AG$14*TANH(AG$15+AG$16*N71)+AG$17*TANH(AG$18+AG$19*N71)+AG$20*TANH(AG$21+AG$22*N71))+AG$23*TANH(AG$24+AG$25*N71)</f>
        <v>1.9472490343467044</v>
      </c>
      <c r="Q71" s="7">
        <f t="shared" si="6"/>
        <v>-0.23982146274905558</v>
      </c>
      <c r="R71" s="7">
        <f t="shared" ref="R71:R134" si="24">AH$8+AH$9*TANH(AH$10+AH$11*TANH(AH$12+AH$13*$N71)+AH$14*TANH(AH$15+AH$16*$N71)+AH$17*TANH(AH$18+AH$19*$N71)+AH$20*TANH(AH$21+AH$22*$N71))+AH$23*TANH(AH$24+AH$25*$N71)</f>
        <v>1.536821469866255</v>
      </c>
      <c r="S71" s="7">
        <f t="shared" si="7"/>
        <v>-5.2019922178360399E-2</v>
      </c>
      <c r="T71" s="7">
        <f t="shared" si="8"/>
        <v>1</v>
      </c>
      <c r="U71" s="7">
        <f t="shared" ref="U71:U134" si="25">AI$8+AI$9*TANH(AI$10+AI$11*TANH(AI$12+AI$13*$N71)+AI$14*TANH(AI$15+AI$16*$N71)+AI$17*TANH(AI$18+AI$19*$N71)+AI$20*TANH(AI$21+AI$22*$N71))+AI$23*TANH(AI$24+AI$25*$N71)</f>
        <v>2.2604523573070665</v>
      </c>
      <c r="V71" s="7">
        <f t="shared" si="9"/>
        <v>6.9712767200741221E-3</v>
      </c>
      <c r="W71" s="7">
        <f t="shared" si="10"/>
        <v>0</v>
      </c>
      <c r="X71" s="8" t="s">
        <v>3</v>
      </c>
      <c r="Y71" s="7">
        <v>-0.73270392593249456</v>
      </c>
      <c r="Z71" s="7">
        <v>1.9472490343467044</v>
      </c>
      <c r="AC71" s="7">
        <f t="shared" si="11"/>
        <v>0.41042756448044937</v>
      </c>
      <c r="AD71" s="7">
        <f t="shared" si="12"/>
        <v>0.31320332296036213</v>
      </c>
      <c r="AE71" s="6" t="s">
        <v>3</v>
      </c>
      <c r="AF71" s="6" t="s">
        <v>3</v>
      </c>
      <c r="AG71" s="6" t="s">
        <v>3</v>
      </c>
      <c r="AH71" s="6" t="s">
        <v>3</v>
      </c>
      <c r="AI71" s="6" t="s">
        <v>3</v>
      </c>
      <c r="AJ71" s="6" t="s">
        <v>3</v>
      </c>
      <c r="AK71" s="5">
        <f t="shared" si="13"/>
        <v>132.18594376262624</v>
      </c>
      <c r="AL71" s="7">
        <f t="shared" si="14"/>
        <v>1.536821469866255</v>
      </c>
      <c r="AM71" s="7">
        <f t="shared" si="15"/>
        <v>2.2604523573070665</v>
      </c>
    </row>
    <row r="72" spans="10:39" x14ac:dyDescent="0.25">
      <c r="J72" s="3">
        <v>66</v>
      </c>
      <c r="K72" s="7">
        <v>-0.72864335338045993</v>
      </c>
      <c r="L72" s="7">
        <f t="shared" ref="L72:L135" si="26">15*(K72^2-1)^2*K72^4*EXP(-1*K72)</f>
        <v>1.9279191002846336</v>
      </c>
      <c r="M72" s="7">
        <f t="shared" ca="1" si="21"/>
        <v>1.7501359642148631</v>
      </c>
      <c r="N72" s="7">
        <f t="shared" si="22"/>
        <v>-0.72864335338045993</v>
      </c>
      <c r="O72" s="7">
        <v>1.9244615935760143</v>
      </c>
      <c r="P72" s="7">
        <f t="shared" si="23"/>
        <v>1.9456772557181052</v>
      </c>
      <c r="Q72" s="7">
        <f t="shared" ref="Q72:Q135" si="27">P72-O72</f>
        <v>2.1215662142090919E-2</v>
      </c>
      <c r="R72" s="7">
        <f t="shared" si="24"/>
        <v>1.5379702564988125</v>
      </c>
      <c r="S72" s="7">
        <f t="shared" ref="S72:S135" si="28">IF(R72-O72&gt;0,1-$S$5,$S$5)*(R72-O72)</f>
        <v>-3.091930696617615E-2</v>
      </c>
      <c r="T72" s="7">
        <f t="shared" ref="T72:T135" si="29">IF(R72&lt;O72,1,0)</f>
        <v>1</v>
      </c>
      <c r="U72" s="7">
        <f t="shared" si="25"/>
        <v>2.2539618416617526</v>
      </c>
      <c r="V72" s="7">
        <f t="shared" ref="V72:V135" si="30">IF(U72-O72&lt;0,1-$V$5,$V$5)*(U72-O72)</f>
        <v>3.1302523568145141E-2</v>
      </c>
      <c r="W72" s="7">
        <f t="shared" ref="W72:W135" si="31">IF(U72&lt;O72,1,0)</f>
        <v>0</v>
      </c>
      <c r="X72" s="8" t="s">
        <v>3</v>
      </c>
      <c r="Y72" s="7">
        <v>-0.72864335338045993</v>
      </c>
      <c r="Z72" s="7">
        <v>1.9456772557181052</v>
      </c>
      <c r="AC72" s="7">
        <f t="shared" ref="AC72:AC135" si="32">P72-R72</f>
        <v>0.40770699921929276</v>
      </c>
      <c r="AD72" s="7">
        <f t="shared" ref="AD72:AD135" si="33">U72-P72</f>
        <v>0.30828458594364738</v>
      </c>
      <c r="AE72" s="6" t="s">
        <v>3</v>
      </c>
      <c r="AF72" s="6" t="s">
        <v>3</v>
      </c>
      <c r="AG72" s="6" t="s">
        <v>3</v>
      </c>
      <c r="AH72" s="6" t="s">
        <v>3</v>
      </c>
      <c r="AI72" s="6" t="s">
        <v>3</v>
      </c>
      <c r="AJ72" s="6" t="s">
        <v>3</v>
      </c>
      <c r="AK72" s="5">
        <f t="shared" ref="AK72:AK135" si="34">1000*(N72-MIN(N$7:N$507))/(MAX(N$7:N$507)-MIN(N$7:N$507))</f>
        <v>134.22689534450785</v>
      </c>
      <c r="AL72" s="7">
        <f t="shared" ref="AL72:AL135" si="35">R72</f>
        <v>1.5379702564988125</v>
      </c>
      <c r="AM72" s="7">
        <f t="shared" ref="AM72:AM135" si="36">U72-0*R72</f>
        <v>2.2539618416617526</v>
      </c>
    </row>
    <row r="73" spans="10:39" x14ac:dyDescent="0.25">
      <c r="J73" s="3">
        <v>67</v>
      </c>
      <c r="K73" s="7">
        <v>-0.72422675632100053</v>
      </c>
      <c r="L73" s="7">
        <f t="shared" si="26"/>
        <v>1.9249090775152036</v>
      </c>
      <c r="M73" s="7">
        <f t="shared" ca="1" si="21"/>
        <v>1.5256158472563295</v>
      </c>
      <c r="N73" s="7">
        <f t="shared" si="22"/>
        <v>-0.72422675632100053</v>
      </c>
      <c r="O73" s="7">
        <v>1.8788596033740477</v>
      </c>
      <c r="P73" s="7">
        <f t="shared" si="23"/>
        <v>1.9425589401642716</v>
      </c>
      <c r="Q73" s="7">
        <f t="shared" si="27"/>
        <v>6.3699336790223882E-2</v>
      </c>
      <c r="R73" s="7">
        <f t="shared" si="24"/>
        <v>1.5377948253041405</v>
      </c>
      <c r="S73" s="7">
        <f t="shared" si="28"/>
        <v>-2.7285182245592576E-2</v>
      </c>
      <c r="T73" s="7">
        <f t="shared" si="29"/>
        <v>1</v>
      </c>
      <c r="U73" s="7">
        <f t="shared" si="25"/>
        <v>2.2456988209906377</v>
      </c>
      <c r="V73" s="7">
        <f t="shared" si="30"/>
        <v>3.4849725673576047E-2</v>
      </c>
      <c r="W73" s="7">
        <f t="shared" si="31"/>
        <v>0</v>
      </c>
      <c r="X73" s="8" t="s">
        <v>3</v>
      </c>
      <c r="Y73" s="7">
        <v>-0.72422675632100053</v>
      </c>
      <c r="Z73" s="7">
        <v>1.9425589401642716</v>
      </c>
      <c r="AC73" s="7">
        <f t="shared" si="32"/>
        <v>0.40476411486013109</v>
      </c>
      <c r="AD73" s="7">
        <f t="shared" si="33"/>
        <v>0.30313988082636611</v>
      </c>
      <c r="AE73" s="6" t="s">
        <v>3</v>
      </c>
      <c r="AF73" s="6" t="s">
        <v>3</v>
      </c>
      <c r="AG73" s="6" t="s">
        <v>3</v>
      </c>
      <c r="AH73" s="6" t="s">
        <v>3</v>
      </c>
      <c r="AI73" s="6" t="s">
        <v>3</v>
      </c>
      <c r="AJ73" s="6" t="s">
        <v>3</v>
      </c>
      <c r="AK73" s="5">
        <f t="shared" si="34"/>
        <v>136.44679429706341</v>
      </c>
      <c r="AL73" s="7">
        <f t="shared" si="35"/>
        <v>1.5377948253041405</v>
      </c>
      <c r="AM73" s="7">
        <f t="shared" si="36"/>
        <v>2.2456988209906377</v>
      </c>
    </row>
    <row r="74" spans="10:39" x14ac:dyDescent="0.25">
      <c r="J74" s="3">
        <v>68</v>
      </c>
      <c r="K74" s="7">
        <v>-0.71278994777788252</v>
      </c>
      <c r="L74" s="7">
        <f t="shared" si="26"/>
        <v>1.9111982911341023</v>
      </c>
      <c r="M74" s="7">
        <f t="shared" ca="1" si="21"/>
        <v>1.7234498784212986</v>
      </c>
      <c r="N74" s="7">
        <f t="shared" si="22"/>
        <v>-0.71278994777788252</v>
      </c>
      <c r="O74" s="7">
        <v>1.8007834498411341</v>
      </c>
      <c r="P74" s="7">
        <f t="shared" si="23"/>
        <v>1.9278309891735663</v>
      </c>
      <c r="Q74" s="7">
        <f t="shared" si="27"/>
        <v>0.12704753933243218</v>
      </c>
      <c r="R74" s="7">
        <f t="shared" si="24"/>
        <v>1.5305192452517293</v>
      </c>
      <c r="S74" s="7">
        <f t="shared" si="28"/>
        <v>-2.1621136367152384E-2</v>
      </c>
      <c r="T74" s="7">
        <f t="shared" si="29"/>
        <v>1</v>
      </c>
      <c r="U74" s="7">
        <f t="shared" si="25"/>
        <v>2.2189192142546612</v>
      </c>
      <c r="V74" s="7">
        <f t="shared" si="30"/>
        <v>3.9722897619285075E-2</v>
      </c>
      <c r="W74" s="7">
        <f t="shared" si="31"/>
        <v>0</v>
      </c>
      <c r="X74" s="8" t="s">
        <v>3</v>
      </c>
      <c r="Y74" s="7">
        <v>-0.71278994777788252</v>
      </c>
      <c r="Z74" s="7">
        <v>1.9278309891735663</v>
      </c>
      <c r="AC74" s="7">
        <f t="shared" si="32"/>
        <v>0.39731174392183699</v>
      </c>
      <c r="AD74" s="7">
        <f t="shared" si="33"/>
        <v>0.29108822508109489</v>
      </c>
      <c r="AE74" s="6" t="s">
        <v>3</v>
      </c>
      <c r="AF74" s="6" t="s">
        <v>3</v>
      </c>
      <c r="AG74" s="6" t="s">
        <v>3</v>
      </c>
      <c r="AH74" s="6" t="s">
        <v>3</v>
      </c>
      <c r="AI74" s="6" t="s">
        <v>3</v>
      </c>
      <c r="AJ74" s="6" t="s">
        <v>3</v>
      </c>
      <c r="AK74" s="5">
        <f t="shared" si="34"/>
        <v>142.1952379435285</v>
      </c>
      <c r="AL74" s="7">
        <f t="shared" si="35"/>
        <v>1.5305192452517293</v>
      </c>
      <c r="AM74" s="7">
        <f t="shared" si="36"/>
        <v>2.2189192142546612</v>
      </c>
    </row>
    <row r="75" spans="10:39" x14ac:dyDescent="0.25">
      <c r="J75" s="3">
        <v>69</v>
      </c>
      <c r="K75" s="7">
        <v>-0.69972137984377292</v>
      </c>
      <c r="L75" s="7">
        <f t="shared" si="26"/>
        <v>1.8857376242546202</v>
      </c>
      <c r="M75" s="7">
        <f t="shared" ca="1" si="21"/>
        <v>1.7107442927267407</v>
      </c>
      <c r="N75" s="7">
        <f t="shared" si="22"/>
        <v>-0.69972137984377292</v>
      </c>
      <c r="O75" s="7">
        <v>1.8219263370161893</v>
      </c>
      <c r="P75" s="7">
        <f t="shared" si="23"/>
        <v>1.8997635033214402</v>
      </c>
      <c r="Q75" s="7">
        <f t="shared" si="27"/>
        <v>7.7837166305250838E-2</v>
      </c>
      <c r="R75" s="7">
        <f t="shared" si="24"/>
        <v>1.5104603800231207</v>
      </c>
      <c r="S75" s="7">
        <f t="shared" si="28"/>
        <v>-2.4917276559445495E-2</v>
      </c>
      <c r="T75" s="7">
        <f t="shared" si="29"/>
        <v>1</v>
      </c>
      <c r="U75" s="7">
        <f t="shared" si="25"/>
        <v>2.179911433961788</v>
      </c>
      <c r="V75" s="7">
        <f t="shared" si="30"/>
        <v>3.4008584209831876E-2</v>
      </c>
      <c r="W75" s="7">
        <f t="shared" si="31"/>
        <v>0</v>
      </c>
      <c r="X75" s="8" t="s">
        <v>3</v>
      </c>
      <c r="Y75" s="7">
        <v>-0.69972137984377292</v>
      </c>
      <c r="Z75" s="7">
        <v>1.8997635033214402</v>
      </c>
      <c r="AC75" s="7">
        <f t="shared" si="32"/>
        <v>0.38930312329831951</v>
      </c>
      <c r="AD75" s="7">
        <f t="shared" si="33"/>
        <v>0.28014793064034782</v>
      </c>
      <c r="AE75" s="6" t="s">
        <v>3</v>
      </c>
      <c r="AF75" s="6" t="s">
        <v>3</v>
      </c>
      <c r="AG75" s="6" t="s">
        <v>3</v>
      </c>
      <c r="AH75" s="6" t="s">
        <v>3</v>
      </c>
      <c r="AI75" s="6" t="s">
        <v>3</v>
      </c>
      <c r="AJ75" s="6" t="s">
        <v>3</v>
      </c>
      <c r="AK75" s="5">
        <f t="shared" si="34"/>
        <v>148.76384718674564</v>
      </c>
      <c r="AL75" s="7">
        <f t="shared" si="35"/>
        <v>1.5104603800231207</v>
      </c>
      <c r="AM75" s="7">
        <f t="shared" si="36"/>
        <v>2.179911433961788</v>
      </c>
    </row>
    <row r="76" spans="10:39" x14ac:dyDescent="0.25">
      <c r="J76" s="3">
        <v>70</v>
      </c>
      <c r="K76" s="7">
        <v>-0.69947650301920916</v>
      </c>
      <c r="L76" s="7">
        <f t="shared" si="26"/>
        <v>1.8851667078498919</v>
      </c>
      <c r="M76" s="7">
        <f t="shared" ca="1" si="21"/>
        <v>1.7813068484700276</v>
      </c>
      <c r="N76" s="7">
        <f t="shared" si="22"/>
        <v>-0.69947650301920916</v>
      </c>
      <c r="O76" s="7">
        <v>1.7713206657215224</v>
      </c>
      <c r="P76" s="7">
        <f t="shared" si="23"/>
        <v>1.8991282352975072</v>
      </c>
      <c r="Q76" s="7">
        <f t="shared" si="27"/>
        <v>0.12780756957598483</v>
      </c>
      <c r="R76" s="7">
        <f t="shared" si="24"/>
        <v>1.5099683614031802</v>
      </c>
      <c r="S76" s="7">
        <f t="shared" si="28"/>
        <v>-2.090818434546737E-2</v>
      </c>
      <c r="T76" s="7">
        <f t="shared" si="29"/>
        <v>1</v>
      </c>
      <c r="U76" s="7">
        <f t="shared" si="25"/>
        <v>2.1791041199062904</v>
      </c>
      <c r="V76" s="7">
        <f t="shared" si="30"/>
        <v>3.8739428147552962E-2</v>
      </c>
      <c r="W76" s="7">
        <f t="shared" si="31"/>
        <v>0</v>
      </c>
      <c r="X76" s="8" t="s">
        <v>3</v>
      </c>
      <c r="Y76" s="7">
        <v>-0.69947650301920916</v>
      </c>
      <c r="Z76" s="7">
        <v>1.8991282352975072</v>
      </c>
      <c r="AC76" s="7">
        <f t="shared" si="32"/>
        <v>0.38915987389432694</v>
      </c>
      <c r="AD76" s="7">
        <f t="shared" si="33"/>
        <v>0.2799758846087832</v>
      </c>
      <c r="AE76" s="6" t="s">
        <v>3</v>
      </c>
      <c r="AF76" s="6" t="s">
        <v>3</v>
      </c>
      <c r="AG76" s="6" t="s">
        <v>3</v>
      </c>
      <c r="AH76" s="6" t="s">
        <v>3</v>
      </c>
      <c r="AI76" s="6" t="s">
        <v>3</v>
      </c>
      <c r="AJ76" s="6" t="s">
        <v>3</v>
      </c>
      <c r="AK76" s="5">
        <f t="shared" si="34"/>
        <v>148.8869287807955</v>
      </c>
      <c r="AL76" s="7">
        <f t="shared" si="35"/>
        <v>1.5099683614031802</v>
      </c>
      <c r="AM76" s="7">
        <f t="shared" si="36"/>
        <v>2.1791041199062904</v>
      </c>
    </row>
    <row r="77" spans="10:39" x14ac:dyDescent="0.25">
      <c r="J77" s="3">
        <v>71</v>
      </c>
      <c r="K77" s="7">
        <v>-0.69507814293028125</v>
      </c>
      <c r="L77" s="7">
        <f t="shared" si="26"/>
        <v>1.8743511179360681</v>
      </c>
      <c r="M77" s="7">
        <f t="shared" ca="1" si="21"/>
        <v>1.9719417094785314</v>
      </c>
      <c r="N77" s="7">
        <f t="shared" si="22"/>
        <v>-0.69507814293028125</v>
      </c>
      <c r="O77" s="7">
        <v>1.5986709821627672</v>
      </c>
      <c r="P77" s="7">
        <f t="shared" si="23"/>
        <v>1.8870581190959963</v>
      </c>
      <c r="Q77" s="7">
        <f t="shared" si="27"/>
        <v>0.28838713693322915</v>
      </c>
      <c r="R77" s="7">
        <f t="shared" si="24"/>
        <v>1.5004219720003524</v>
      </c>
      <c r="S77" s="7">
        <f t="shared" si="28"/>
        <v>-7.8599208129931774E-3</v>
      </c>
      <c r="T77" s="7">
        <f t="shared" si="29"/>
        <v>1</v>
      </c>
      <c r="U77" s="7">
        <f t="shared" si="25"/>
        <v>2.1641643039928984</v>
      </c>
      <c r="V77" s="7">
        <f t="shared" si="30"/>
        <v>5.3721865573862465E-2</v>
      </c>
      <c r="W77" s="7">
        <f t="shared" si="31"/>
        <v>0</v>
      </c>
      <c r="X77" s="8" t="s">
        <v>3</v>
      </c>
      <c r="Y77" s="7">
        <v>-0.69507814293028125</v>
      </c>
      <c r="Z77" s="7">
        <v>1.8870581190959963</v>
      </c>
      <c r="AC77" s="7">
        <f t="shared" si="32"/>
        <v>0.38663614709564387</v>
      </c>
      <c r="AD77" s="7">
        <f t="shared" si="33"/>
        <v>0.27710618489690209</v>
      </c>
      <c r="AE77" s="6" t="s">
        <v>3</v>
      </c>
      <c r="AF77" s="6" t="s">
        <v>3</v>
      </c>
      <c r="AG77" s="6" t="s">
        <v>3</v>
      </c>
      <c r="AH77" s="6" t="s">
        <v>3</v>
      </c>
      <c r="AI77" s="6" t="s">
        <v>3</v>
      </c>
      <c r="AJ77" s="6" t="s">
        <v>3</v>
      </c>
      <c r="AK77" s="5">
        <f t="shared" si="34"/>
        <v>151.0976613477298</v>
      </c>
      <c r="AL77" s="7">
        <f t="shared" si="35"/>
        <v>1.5004219720003524</v>
      </c>
      <c r="AM77" s="7">
        <f t="shared" si="36"/>
        <v>2.1641643039928984</v>
      </c>
    </row>
    <row r="78" spans="10:39" x14ac:dyDescent="0.25">
      <c r="J78" s="3">
        <v>72</v>
      </c>
      <c r="K78" s="7">
        <v>-0.69313882813812233</v>
      </c>
      <c r="L78" s="7">
        <f t="shared" si="26"/>
        <v>1.8692507152813882</v>
      </c>
      <c r="M78" s="7">
        <f t="shared" ca="1" si="21"/>
        <v>2.0477758508032657</v>
      </c>
      <c r="N78" s="7">
        <f t="shared" si="22"/>
        <v>-0.69313882813812233</v>
      </c>
      <c r="O78" s="7">
        <v>1.714701884924168</v>
      </c>
      <c r="P78" s="7">
        <f t="shared" si="23"/>
        <v>1.8813451538447639</v>
      </c>
      <c r="Q78" s="7">
        <f t="shared" si="27"/>
        <v>0.16664326892059589</v>
      </c>
      <c r="R78" s="7">
        <f t="shared" si="24"/>
        <v>1.4957907918697941</v>
      </c>
      <c r="S78" s="7">
        <f t="shared" si="28"/>
        <v>-1.7512887444349909E-2</v>
      </c>
      <c r="T78" s="7">
        <f t="shared" si="29"/>
        <v>1</v>
      </c>
      <c r="U78" s="7">
        <f t="shared" si="25"/>
        <v>2.1573212277680627</v>
      </c>
      <c r="V78" s="7">
        <f t="shared" si="30"/>
        <v>4.204883757017E-2</v>
      </c>
      <c r="W78" s="7">
        <f t="shared" si="31"/>
        <v>0</v>
      </c>
      <c r="X78" s="8" t="s">
        <v>3</v>
      </c>
      <c r="Y78" s="7">
        <v>-0.69313882813812233</v>
      </c>
      <c r="Z78" s="7">
        <v>1.8813451538447639</v>
      </c>
      <c r="AC78" s="7">
        <f t="shared" si="32"/>
        <v>0.38555436197496973</v>
      </c>
      <c r="AD78" s="7">
        <f t="shared" si="33"/>
        <v>0.27597607392329881</v>
      </c>
      <c r="AE78" s="6" t="s">
        <v>3</v>
      </c>
      <c r="AF78" s="6" t="s">
        <v>3</v>
      </c>
      <c r="AG78" s="6" t="s">
        <v>3</v>
      </c>
      <c r="AH78" s="6" t="s">
        <v>3</v>
      </c>
      <c r="AI78" s="6" t="s">
        <v>3</v>
      </c>
      <c r="AJ78" s="6" t="s">
        <v>3</v>
      </c>
      <c r="AK78" s="5">
        <f t="shared" si="34"/>
        <v>152.07241245538825</v>
      </c>
      <c r="AL78" s="7">
        <f t="shared" si="35"/>
        <v>1.4957907918697941</v>
      </c>
      <c r="AM78" s="7">
        <f t="shared" si="36"/>
        <v>2.1573212277680627</v>
      </c>
    </row>
    <row r="79" spans="10:39" x14ac:dyDescent="0.25">
      <c r="J79" s="3">
        <v>73</v>
      </c>
      <c r="K79" s="7">
        <v>-0.69152140702818343</v>
      </c>
      <c r="L79" s="7">
        <f t="shared" si="26"/>
        <v>1.8648451056311468</v>
      </c>
      <c r="M79" s="7">
        <f t="shared" ca="1" si="21"/>
        <v>2.3368206276801011</v>
      </c>
      <c r="N79" s="7">
        <f t="shared" si="22"/>
        <v>-0.69152140702818343</v>
      </c>
      <c r="O79" s="7">
        <v>2.1719965449181413</v>
      </c>
      <c r="P79" s="7">
        <f t="shared" si="23"/>
        <v>1.8764008968350616</v>
      </c>
      <c r="Q79" s="7">
        <f t="shared" si="27"/>
        <v>-0.2955956480830797</v>
      </c>
      <c r="R79" s="7">
        <f t="shared" si="24"/>
        <v>1.4917335461850547</v>
      </c>
      <c r="S79" s="7">
        <f t="shared" si="28"/>
        <v>-5.4421039898646932E-2</v>
      </c>
      <c r="T79" s="7">
        <f t="shared" si="29"/>
        <v>1</v>
      </c>
      <c r="U79" s="7">
        <f t="shared" si="25"/>
        <v>2.1514989649860907</v>
      </c>
      <c r="V79" s="7">
        <f t="shared" si="30"/>
        <v>-1.8550309838505787E-2</v>
      </c>
      <c r="W79" s="7">
        <f t="shared" si="31"/>
        <v>1</v>
      </c>
      <c r="X79" s="8" t="s">
        <v>3</v>
      </c>
      <c r="Y79" s="7">
        <v>-0.69152140702818343</v>
      </c>
      <c r="Z79" s="7">
        <v>1.8764008968350616</v>
      </c>
      <c r="AC79" s="7">
        <f t="shared" si="32"/>
        <v>0.3846673506500069</v>
      </c>
      <c r="AD79" s="7">
        <f t="shared" si="33"/>
        <v>0.27509806815102911</v>
      </c>
      <c r="AE79" s="6" t="s">
        <v>3</v>
      </c>
      <c r="AF79" s="6" t="s">
        <v>3</v>
      </c>
      <c r="AG79" s="6" t="s">
        <v>3</v>
      </c>
      <c r="AH79" s="6" t="s">
        <v>3</v>
      </c>
      <c r="AI79" s="6" t="s">
        <v>3</v>
      </c>
      <c r="AJ79" s="6" t="s">
        <v>3</v>
      </c>
      <c r="AK79" s="5">
        <f t="shared" si="34"/>
        <v>152.88537125136995</v>
      </c>
      <c r="AL79" s="7">
        <f t="shared" si="35"/>
        <v>1.4917335461850547</v>
      </c>
      <c r="AM79" s="7">
        <f t="shared" si="36"/>
        <v>2.1514989649860907</v>
      </c>
    </row>
    <row r="80" spans="10:39" x14ac:dyDescent="0.25">
      <c r="J80" s="3">
        <v>74</v>
      </c>
      <c r="K80" s="7">
        <v>-0.68893897374440671</v>
      </c>
      <c r="L80" s="7">
        <f t="shared" si="26"/>
        <v>1.8575297790840397</v>
      </c>
      <c r="M80" s="7">
        <f t="shared" ca="1" si="21"/>
        <v>2.1146442871122786</v>
      </c>
      <c r="N80" s="7">
        <f t="shared" si="22"/>
        <v>-0.68893897374440671</v>
      </c>
      <c r="O80" s="7">
        <v>1.7410919480767124</v>
      </c>
      <c r="P80" s="7">
        <f t="shared" si="23"/>
        <v>1.8681734191433914</v>
      </c>
      <c r="Q80" s="7">
        <f t="shared" si="27"/>
        <v>0.127081471066679</v>
      </c>
      <c r="R80" s="7">
        <f t="shared" si="24"/>
        <v>1.4848926319916786</v>
      </c>
      <c r="S80" s="7">
        <f t="shared" si="28"/>
        <v>-2.0495945286802701E-2</v>
      </c>
      <c r="T80" s="7">
        <f t="shared" si="29"/>
        <v>1</v>
      </c>
      <c r="U80" s="7">
        <f t="shared" si="25"/>
        <v>2.1419928131832422</v>
      </c>
      <c r="V80" s="7">
        <f t="shared" si="30"/>
        <v>3.8085582185120329E-2</v>
      </c>
      <c r="W80" s="7">
        <f t="shared" si="31"/>
        <v>0</v>
      </c>
      <c r="X80" s="8" t="s">
        <v>3</v>
      </c>
      <c r="Y80" s="7">
        <v>-0.68893897374440671</v>
      </c>
      <c r="Z80" s="7">
        <v>1.8681734191433914</v>
      </c>
      <c r="AC80" s="7">
        <f t="shared" si="32"/>
        <v>0.38328078715171277</v>
      </c>
      <c r="AD80" s="7">
        <f t="shared" si="33"/>
        <v>0.27381939403985078</v>
      </c>
      <c r="AE80" s="6" t="s">
        <v>3</v>
      </c>
      <c r="AF80" s="6" t="s">
        <v>3</v>
      </c>
      <c r="AG80" s="6" t="s">
        <v>3</v>
      </c>
      <c r="AH80" s="6" t="s">
        <v>3</v>
      </c>
      <c r="AI80" s="6" t="s">
        <v>3</v>
      </c>
      <c r="AJ80" s="6" t="s">
        <v>3</v>
      </c>
      <c r="AK80" s="5">
        <f t="shared" si="34"/>
        <v>154.18337078914126</v>
      </c>
      <c r="AL80" s="7">
        <f t="shared" si="35"/>
        <v>1.4848926319916786</v>
      </c>
      <c r="AM80" s="7">
        <f t="shared" si="36"/>
        <v>2.1419928131832422</v>
      </c>
    </row>
    <row r="81" spans="10:39" x14ac:dyDescent="0.25">
      <c r="J81" s="3">
        <v>75</v>
      </c>
      <c r="K81" s="7">
        <v>-0.68594426147367704</v>
      </c>
      <c r="L81" s="7">
        <f t="shared" si="26"/>
        <v>1.8486226383494342</v>
      </c>
      <c r="M81" s="7">
        <f t="shared" ca="1" si="21"/>
        <v>2.0145236758394804</v>
      </c>
      <c r="N81" s="7">
        <f t="shared" si="22"/>
        <v>-0.68594426147367704</v>
      </c>
      <c r="O81" s="7">
        <v>1.9380170226091851</v>
      </c>
      <c r="P81" s="7">
        <f t="shared" si="23"/>
        <v>1.858128816882973</v>
      </c>
      <c r="Q81" s="7">
        <f t="shared" si="27"/>
        <v>-7.9888205726212025E-2</v>
      </c>
      <c r="R81" s="7">
        <f t="shared" si="24"/>
        <v>1.4764085857122633</v>
      </c>
      <c r="S81" s="7">
        <f t="shared" si="28"/>
        <v>-3.692867495175374E-2</v>
      </c>
      <c r="T81" s="7">
        <f t="shared" si="29"/>
        <v>1</v>
      </c>
      <c r="U81" s="7">
        <f t="shared" si="25"/>
        <v>2.1306574065236905</v>
      </c>
      <c r="V81" s="7">
        <f t="shared" si="30"/>
        <v>1.8300836471878017E-2</v>
      </c>
      <c r="W81" s="7">
        <f t="shared" si="31"/>
        <v>0</v>
      </c>
      <c r="X81" s="8" t="s">
        <v>3</v>
      </c>
      <c r="Y81" s="7">
        <v>-0.68594426147367704</v>
      </c>
      <c r="Z81" s="7">
        <v>1.858128816882973</v>
      </c>
      <c r="AC81" s="7">
        <f t="shared" si="32"/>
        <v>0.38172023117070975</v>
      </c>
      <c r="AD81" s="7">
        <f t="shared" si="33"/>
        <v>0.27252858964071747</v>
      </c>
      <c r="AE81" s="6" t="s">
        <v>3</v>
      </c>
      <c r="AF81" s="6" t="s">
        <v>3</v>
      </c>
      <c r="AG81" s="6" t="s">
        <v>3</v>
      </c>
      <c r="AH81" s="6" t="s">
        <v>3</v>
      </c>
      <c r="AI81" s="6" t="s">
        <v>3</v>
      </c>
      <c r="AJ81" s="6" t="s">
        <v>3</v>
      </c>
      <c r="AK81" s="5">
        <f t="shared" si="34"/>
        <v>155.68859269267884</v>
      </c>
      <c r="AL81" s="7">
        <f t="shared" si="35"/>
        <v>1.4764085857122633</v>
      </c>
      <c r="AM81" s="7">
        <f t="shared" si="36"/>
        <v>2.1306574065236905</v>
      </c>
    </row>
    <row r="82" spans="10:39" x14ac:dyDescent="0.25">
      <c r="J82" s="3">
        <v>76</v>
      </c>
      <c r="K82" s="7">
        <v>-0.67222811097054547</v>
      </c>
      <c r="L82" s="7">
        <f t="shared" si="26"/>
        <v>1.8023425875966654</v>
      </c>
      <c r="M82" s="7">
        <f t="shared" ca="1" si="21"/>
        <v>1.5120331851781814</v>
      </c>
      <c r="N82" s="7">
        <f t="shared" si="22"/>
        <v>-0.67222811097054547</v>
      </c>
      <c r="O82" s="7">
        <v>1.7480036417143969</v>
      </c>
      <c r="P82" s="7">
        <f t="shared" si="23"/>
        <v>1.8055839076522695</v>
      </c>
      <c r="Q82" s="7">
        <f t="shared" si="27"/>
        <v>5.7580265937872577E-2</v>
      </c>
      <c r="R82" s="7">
        <f t="shared" si="24"/>
        <v>1.4303078812919803</v>
      </c>
      <c r="S82" s="7">
        <f t="shared" si="28"/>
        <v>-2.5415660833793333E-2</v>
      </c>
      <c r="T82" s="7">
        <f t="shared" si="29"/>
        <v>1</v>
      </c>
      <c r="U82" s="7">
        <f t="shared" si="25"/>
        <v>2.0748842451341387</v>
      </c>
      <c r="V82" s="7">
        <f t="shared" si="30"/>
        <v>3.1053657324875469E-2</v>
      </c>
      <c r="W82" s="7">
        <f t="shared" si="31"/>
        <v>0</v>
      </c>
      <c r="X82" s="8" t="s">
        <v>3</v>
      </c>
      <c r="Y82" s="7">
        <v>-0.67222811097054547</v>
      </c>
      <c r="Z82" s="7">
        <v>1.8055839076522695</v>
      </c>
      <c r="AC82" s="7">
        <f t="shared" si="32"/>
        <v>0.37527602636028923</v>
      </c>
      <c r="AD82" s="7">
        <f t="shared" si="33"/>
        <v>0.26930033748186921</v>
      </c>
      <c r="AE82" s="6" t="s">
        <v>3</v>
      </c>
      <c r="AF82" s="6" t="s">
        <v>3</v>
      </c>
      <c r="AG82" s="6" t="s">
        <v>3</v>
      </c>
      <c r="AH82" s="6" t="s">
        <v>3</v>
      </c>
      <c r="AI82" s="6" t="s">
        <v>3</v>
      </c>
      <c r="AJ82" s="6" t="s">
        <v>3</v>
      </c>
      <c r="AK82" s="5">
        <f t="shared" si="34"/>
        <v>162.58269412984339</v>
      </c>
      <c r="AL82" s="7">
        <f t="shared" si="35"/>
        <v>1.4303078812919803</v>
      </c>
      <c r="AM82" s="7">
        <f t="shared" si="36"/>
        <v>2.0748842451341387</v>
      </c>
    </row>
    <row r="83" spans="10:39" x14ac:dyDescent="0.25">
      <c r="J83" s="3">
        <v>77</v>
      </c>
      <c r="K83" s="7">
        <v>-0.66817902446308586</v>
      </c>
      <c r="L83" s="7">
        <f t="shared" si="26"/>
        <v>1.7870720338381443</v>
      </c>
      <c r="M83" s="7">
        <f t="shared" ca="1" si="21"/>
        <v>1.8031738255331984</v>
      </c>
      <c r="N83" s="7">
        <f t="shared" si="22"/>
        <v>-0.66817902446308586</v>
      </c>
      <c r="O83" s="7">
        <v>1.858792309380527</v>
      </c>
      <c r="P83" s="7">
        <f t="shared" si="23"/>
        <v>1.7881518811830515</v>
      </c>
      <c r="Q83" s="7">
        <f t="shared" si="27"/>
        <v>-7.0640428197475513E-2</v>
      </c>
      <c r="R83" s="7">
        <f t="shared" si="24"/>
        <v>1.4145427110296456</v>
      </c>
      <c r="S83" s="7">
        <f t="shared" si="28"/>
        <v>-3.553996786807051E-2</v>
      </c>
      <c r="T83" s="7">
        <f t="shared" si="29"/>
        <v>1</v>
      </c>
      <c r="U83" s="7">
        <f t="shared" si="25"/>
        <v>2.0573448011917206</v>
      </c>
      <c r="V83" s="7">
        <f t="shared" si="30"/>
        <v>1.8862486722063393E-2</v>
      </c>
      <c r="W83" s="7">
        <f t="shared" si="31"/>
        <v>0</v>
      </c>
      <c r="X83" s="8" t="s">
        <v>3</v>
      </c>
      <c r="Y83" s="7">
        <v>-0.66817902446308586</v>
      </c>
      <c r="Z83" s="7">
        <v>1.7881518811830515</v>
      </c>
      <c r="AC83" s="7">
        <f t="shared" si="32"/>
        <v>0.37360917015340589</v>
      </c>
      <c r="AD83" s="7">
        <f t="shared" si="33"/>
        <v>0.26919292000866912</v>
      </c>
      <c r="AE83" s="6" t="s">
        <v>3</v>
      </c>
      <c r="AF83" s="6" t="s">
        <v>3</v>
      </c>
      <c r="AG83" s="6" t="s">
        <v>3</v>
      </c>
      <c r="AH83" s="6" t="s">
        <v>3</v>
      </c>
      <c r="AI83" s="6" t="s">
        <v>3</v>
      </c>
      <c r="AJ83" s="6" t="s">
        <v>3</v>
      </c>
      <c r="AK83" s="5">
        <f t="shared" si="34"/>
        <v>164.6178725207416</v>
      </c>
      <c r="AL83" s="7">
        <f t="shared" si="35"/>
        <v>1.4145427110296456</v>
      </c>
      <c r="AM83" s="7">
        <f t="shared" si="36"/>
        <v>2.0573448011917206</v>
      </c>
    </row>
    <row r="84" spans="10:39" x14ac:dyDescent="0.25">
      <c r="J84" s="3">
        <v>78</v>
      </c>
      <c r="K84" s="7">
        <v>-0.6633987194153077</v>
      </c>
      <c r="L84" s="7">
        <f t="shared" si="26"/>
        <v>1.768171682434885</v>
      </c>
      <c r="M84" s="7">
        <f t="shared" ca="1" si="21"/>
        <v>1.8874473655831328</v>
      </c>
      <c r="N84" s="7">
        <f t="shared" si="22"/>
        <v>-0.6633987194153077</v>
      </c>
      <c r="O84" s="7">
        <v>1.9749043855472812</v>
      </c>
      <c r="P84" s="7">
        <f t="shared" si="23"/>
        <v>1.7665327795926642</v>
      </c>
      <c r="Q84" s="7">
        <f t="shared" si="27"/>
        <v>-0.20837160595461701</v>
      </c>
      <c r="R84" s="7">
        <f t="shared" si="24"/>
        <v>1.3947461011705302</v>
      </c>
      <c r="S84" s="7">
        <f t="shared" si="28"/>
        <v>-4.6412662750140082E-2</v>
      </c>
      <c r="T84" s="7">
        <f t="shared" si="29"/>
        <v>1</v>
      </c>
      <c r="U84" s="7">
        <f t="shared" si="25"/>
        <v>2.0360884922727962</v>
      </c>
      <c r="V84" s="7">
        <f t="shared" si="30"/>
        <v>5.8124901389239245E-3</v>
      </c>
      <c r="W84" s="7">
        <f t="shared" si="31"/>
        <v>0</v>
      </c>
      <c r="X84" s="8" t="s">
        <v>3</v>
      </c>
      <c r="Y84" s="7">
        <v>-0.6633987194153077</v>
      </c>
      <c r="Z84" s="7">
        <v>1.7665327795926642</v>
      </c>
      <c r="AC84" s="7">
        <f t="shared" si="32"/>
        <v>0.37178667842213398</v>
      </c>
      <c r="AD84" s="7">
        <f t="shared" si="33"/>
        <v>0.26955571268013201</v>
      </c>
      <c r="AE84" s="6" t="s">
        <v>3</v>
      </c>
      <c r="AF84" s="6" t="s">
        <v>3</v>
      </c>
      <c r="AG84" s="6" t="s">
        <v>3</v>
      </c>
      <c r="AH84" s="6" t="s">
        <v>3</v>
      </c>
      <c r="AI84" s="6" t="s">
        <v>3</v>
      </c>
      <c r="AJ84" s="6" t="s">
        <v>3</v>
      </c>
      <c r="AK84" s="5">
        <f t="shared" si="34"/>
        <v>167.02058076548187</v>
      </c>
      <c r="AL84" s="7">
        <f t="shared" si="35"/>
        <v>1.3947461011705302</v>
      </c>
      <c r="AM84" s="7">
        <f t="shared" si="36"/>
        <v>2.0360884922727962</v>
      </c>
    </row>
    <row r="85" spans="10:39" x14ac:dyDescent="0.25">
      <c r="J85" s="3">
        <v>79</v>
      </c>
      <c r="K85" s="7">
        <v>-0.6604467276975714</v>
      </c>
      <c r="L85" s="7">
        <f t="shared" si="26"/>
        <v>1.7560486073596104</v>
      </c>
      <c r="M85" s="7">
        <f t="shared" ca="1" si="21"/>
        <v>1.7068448105026006</v>
      </c>
      <c r="N85" s="7">
        <f t="shared" si="22"/>
        <v>-0.6604467276975714</v>
      </c>
      <c r="O85" s="7">
        <v>1.7864043031064112</v>
      </c>
      <c r="P85" s="7">
        <f t="shared" si="23"/>
        <v>1.7526461129600639</v>
      </c>
      <c r="Q85" s="7">
        <f t="shared" si="27"/>
        <v>-3.3758190146347289E-2</v>
      </c>
      <c r="R85" s="7">
        <f t="shared" si="24"/>
        <v>1.3819048473188655</v>
      </c>
      <c r="S85" s="7">
        <f t="shared" si="28"/>
        <v>-3.2359956463003652E-2</v>
      </c>
      <c r="T85" s="7">
        <f t="shared" si="29"/>
        <v>1</v>
      </c>
      <c r="U85" s="7">
        <f t="shared" si="25"/>
        <v>2.022686515751837</v>
      </c>
      <c r="V85" s="7">
        <f t="shared" si="30"/>
        <v>2.2446810201315451E-2</v>
      </c>
      <c r="W85" s="7">
        <f t="shared" si="31"/>
        <v>0</v>
      </c>
      <c r="X85" s="8" t="s">
        <v>3</v>
      </c>
      <c r="Y85" s="7">
        <v>-0.6604467276975714</v>
      </c>
      <c r="Z85" s="7">
        <v>1.7526461129600639</v>
      </c>
      <c r="AC85" s="7">
        <f t="shared" si="32"/>
        <v>0.37074126564119836</v>
      </c>
      <c r="AD85" s="7">
        <f t="shared" si="33"/>
        <v>0.2700404027917731</v>
      </c>
      <c r="AE85" s="6" t="s">
        <v>3</v>
      </c>
      <c r="AF85" s="6" t="s">
        <v>3</v>
      </c>
      <c r="AG85" s="6" t="s">
        <v>3</v>
      </c>
      <c r="AH85" s="6" t="s">
        <v>3</v>
      </c>
      <c r="AI85" s="6" t="s">
        <v>3</v>
      </c>
      <c r="AJ85" s="6" t="s">
        <v>3</v>
      </c>
      <c r="AK85" s="5">
        <f t="shared" si="34"/>
        <v>168.50433018475931</v>
      </c>
      <c r="AL85" s="7">
        <f t="shared" si="35"/>
        <v>1.3819048473188655</v>
      </c>
      <c r="AM85" s="7">
        <f t="shared" si="36"/>
        <v>2.022686515751837</v>
      </c>
    </row>
    <row r="86" spans="10:39" x14ac:dyDescent="0.25">
      <c r="J86" s="3">
        <v>80</v>
      </c>
      <c r="K86" s="7">
        <v>-0.66039396192118294</v>
      </c>
      <c r="L86" s="7">
        <f t="shared" si="26"/>
        <v>1.7558288677462408</v>
      </c>
      <c r="M86" s="7">
        <f t="shared" ca="1" si="21"/>
        <v>2.0285400024834006</v>
      </c>
      <c r="N86" s="7">
        <f t="shared" si="22"/>
        <v>-0.66039396192118294</v>
      </c>
      <c r="O86" s="7">
        <v>2.0256026367239715</v>
      </c>
      <c r="P86" s="7">
        <f t="shared" si="23"/>
        <v>1.7523942893789584</v>
      </c>
      <c r="Q86" s="7">
        <f t="shared" si="27"/>
        <v>-0.27320834734501309</v>
      </c>
      <c r="R86" s="7">
        <f t="shared" si="24"/>
        <v>1.3816711489952886</v>
      </c>
      <c r="S86" s="7">
        <f t="shared" si="28"/>
        <v>-5.1514519018294624E-2</v>
      </c>
      <c r="T86" s="7">
        <f t="shared" si="29"/>
        <v>1</v>
      </c>
      <c r="U86" s="7">
        <f t="shared" si="25"/>
        <v>2.0224451428974337</v>
      </c>
      <c r="V86" s="7">
        <f t="shared" si="30"/>
        <v>-2.8575319130166531E-3</v>
      </c>
      <c r="W86" s="7">
        <f t="shared" si="31"/>
        <v>1</v>
      </c>
      <c r="X86" s="8" t="s">
        <v>3</v>
      </c>
      <c r="Y86" s="7">
        <v>-0.66039396192118294</v>
      </c>
      <c r="Z86" s="7">
        <v>1.7523942893789584</v>
      </c>
      <c r="AC86" s="7">
        <f t="shared" si="32"/>
        <v>0.37072314038366971</v>
      </c>
      <c r="AD86" s="7">
        <f t="shared" si="33"/>
        <v>0.27005085351847535</v>
      </c>
      <c r="AE86" s="6" t="s">
        <v>3</v>
      </c>
      <c r="AF86" s="6" t="s">
        <v>3</v>
      </c>
      <c r="AG86" s="6" t="s">
        <v>3</v>
      </c>
      <c r="AH86" s="6" t="s">
        <v>3</v>
      </c>
      <c r="AI86" s="6" t="s">
        <v>3</v>
      </c>
      <c r="AJ86" s="6" t="s">
        <v>3</v>
      </c>
      <c r="AK86" s="5">
        <f t="shared" si="34"/>
        <v>168.53085166502083</v>
      </c>
      <c r="AL86" s="7">
        <f t="shared" si="35"/>
        <v>1.3816711489952886</v>
      </c>
      <c r="AM86" s="7">
        <f t="shared" si="36"/>
        <v>2.0224451428974337</v>
      </c>
    </row>
    <row r="87" spans="10:39" x14ac:dyDescent="0.25">
      <c r="J87" s="3">
        <v>81</v>
      </c>
      <c r="K87" s="7">
        <v>-0.65199124633002725</v>
      </c>
      <c r="L87" s="7">
        <f t="shared" si="26"/>
        <v>1.7195323034649259</v>
      </c>
      <c r="M87" s="7">
        <f t="shared" ca="1" si="21"/>
        <v>1.5866883472911544</v>
      </c>
      <c r="N87" s="7">
        <f t="shared" si="22"/>
        <v>-0.65199124633002725</v>
      </c>
      <c r="O87" s="7">
        <v>1.8938084475588668</v>
      </c>
      <c r="P87" s="7">
        <f t="shared" si="23"/>
        <v>1.7107572567786975</v>
      </c>
      <c r="Q87" s="7">
        <f t="shared" si="27"/>
        <v>-0.18305119078016929</v>
      </c>
      <c r="R87" s="7">
        <f t="shared" si="24"/>
        <v>1.3426667597044748</v>
      </c>
      <c r="S87" s="7">
        <f t="shared" si="28"/>
        <v>-4.4091335028351358E-2</v>
      </c>
      <c r="T87" s="7">
        <f t="shared" si="29"/>
        <v>1</v>
      </c>
      <c r="U87" s="7">
        <f t="shared" si="25"/>
        <v>1.9832539845380117</v>
      </c>
      <c r="V87" s="7">
        <f t="shared" si="30"/>
        <v>8.4973260130187678E-3</v>
      </c>
      <c r="W87" s="7">
        <f t="shared" si="31"/>
        <v>0</v>
      </c>
      <c r="X87" s="8" t="s">
        <v>3</v>
      </c>
      <c r="Y87" s="7">
        <v>-0.65199124633002725</v>
      </c>
      <c r="Z87" s="7">
        <v>1.7107572567786975</v>
      </c>
      <c r="AC87" s="7">
        <f t="shared" si="32"/>
        <v>0.3680904970742227</v>
      </c>
      <c r="AD87" s="7">
        <f t="shared" si="33"/>
        <v>0.27249672775931422</v>
      </c>
      <c r="AE87" s="6" t="s">
        <v>3</v>
      </c>
      <c r="AF87" s="6" t="s">
        <v>3</v>
      </c>
      <c r="AG87" s="6" t="s">
        <v>3</v>
      </c>
      <c r="AH87" s="6" t="s">
        <v>3</v>
      </c>
      <c r="AI87" s="6" t="s">
        <v>3</v>
      </c>
      <c r="AJ87" s="6" t="s">
        <v>3</v>
      </c>
      <c r="AK87" s="5">
        <f t="shared" si="34"/>
        <v>172.75427963191615</v>
      </c>
      <c r="AL87" s="7">
        <f t="shared" si="35"/>
        <v>1.3426667597044748</v>
      </c>
      <c r="AM87" s="7">
        <f t="shared" si="36"/>
        <v>1.9832539845380117</v>
      </c>
    </row>
    <row r="88" spans="10:39" x14ac:dyDescent="0.25">
      <c r="J88" s="3">
        <v>82</v>
      </c>
      <c r="K88" s="7">
        <v>-0.65181879083137595</v>
      </c>
      <c r="L88" s="7">
        <f t="shared" si="26"/>
        <v>1.718761160245966</v>
      </c>
      <c r="M88" s="7">
        <f t="shared" ca="1" si="21"/>
        <v>1.7104330294834782</v>
      </c>
      <c r="N88" s="7">
        <f t="shared" si="22"/>
        <v>-0.65181879083137595</v>
      </c>
      <c r="O88" s="7">
        <v>2.002004072549961</v>
      </c>
      <c r="P88" s="7">
        <f t="shared" si="23"/>
        <v>1.709872024428519</v>
      </c>
      <c r="Q88" s="7">
        <f t="shared" si="27"/>
        <v>-0.292132048121442</v>
      </c>
      <c r="R88" s="7">
        <f t="shared" si="24"/>
        <v>1.3418302547303296</v>
      </c>
      <c r="S88" s="7">
        <f t="shared" si="28"/>
        <v>-5.2813905425570518E-2</v>
      </c>
      <c r="T88" s="7">
        <f t="shared" si="29"/>
        <v>1</v>
      </c>
      <c r="U88" s="7">
        <f t="shared" si="25"/>
        <v>1.9824348780232637</v>
      </c>
      <c r="V88" s="7">
        <f t="shared" si="30"/>
        <v>-1.7710121046661115E-2</v>
      </c>
      <c r="W88" s="7">
        <f t="shared" si="31"/>
        <v>1</v>
      </c>
      <c r="X88" s="8" t="s">
        <v>3</v>
      </c>
      <c r="Y88" s="7">
        <v>-0.65181879083137595</v>
      </c>
      <c r="Z88" s="7">
        <v>1.709872024428519</v>
      </c>
      <c r="AC88" s="7">
        <f t="shared" si="32"/>
        <v>0.36804176969818947</v>
      </c>
      <c r="AD88" s="7">
        <f t="shared" si="33"/>
        <v>0.27256285359474464</v>
      </c>
      <c r="AE88" s="6" t="s">
        <v>3</v>
      </c>
      <c r="AF88" s="6" t="s">
        <v>3</v>
      </c>
      <c r="AG88" s="6" t="s">
        <v>3</v>
      </c>
      <c r="AH88" s="6" t="s">
        <v>3</v>
      </c>
      <c r="AI88" s="6" t="s">
        <v>3</v>
      </c>
      <c r="AJ88" s="6" t="s">
        <v>3</v>
      </c>
      <c r="AK88" s="5">
        <f t="shared" si="34"/>
        <v>172.84096034461521</v>
      </c>
      <c r="AL88" s="7">
        <f t="shared" si="35"/>
        <v>1.3418302547303296</v>
      </c>
      <c r="AM88" s="7">
        <f t="shared" si="36"/>
        <v>1.9824348780232637</v>
      </c>
    </row>
    <row r="89" spans="10:39" x14ac:dyDescent="0.25">
      <c r="J89" s="3">
        <v>83</v>
      </c>
      <c r="K89" s="7">
        <v>-0.64546261766747026</v>
      </c>
      <c r="L89" s="7">
        <f t="shared" si="26"/>
        <v>1.6896494062355729</v>
      </c>
      <c r="M89" s="7">
        <f t="shared" ca="1" si="21"/>
        <v>1.8315120075295872</v>
      </c>
      <c r="N89" s="7">
        <f t="shared" si="22"/>
        <v>-0.64546261766747026</v>
      </c>
      <c r="O89" s="7">
        <v>1.6053144157414918</v>
      </c>
      <c r="P89" s="7">
        <f t="shared" si="23"/>
        <v>1.6764465571431924</v>
      </c>
      <c r="Q89" s="7">
        <f t="shared" si="27"/>
        <v>7.1132141401700544E-2</v>
      </c>
      <c r="R89" s="7">
        <f t="shared" si="24"/>
        <v>1.3100515089981726</v>
      </c>
      <c r="S89" s="7">
        <f t="shared" si="28"/>
        <v>-2.3621032539465538E-2</v>
      </c>
      <c r="T89" s="7">
        <f t="shared" si="29"/>
        <v>1</v>
      </c>
      <c r="U89" s="7">
        <f t="shared" si="25"/>
        <v>1.9518745762796996</v>
      </c>
      <c r="V89" s="7">
        <f t="shared" si="30"/>
        <v>3.2923215251129741E-2</v>
      </c>
      <c r="W89" s="7">
        <f t="shared" si="31"/>
        <v>0</v>
      </c>
      <c r="X89" s="8" t="s">
        <v>3</v>
      </c>
      <c r="Y89" s="7">
        <v>-0.64546261766747026</v>
      </c>
      <c r="Z89" s="7">
        <v>1.6764465571431924</v>
      </c>
      <c r="AC89" s="7">
        <f t="shared" si="32"/>
        <v>0.36639504814501977</v>
      </c>
      <c r="AD89" s="7">
        <f t="shared" si="33"/>
        <v>0.27542801913650727</v>
      </c>
      <c r="AE89" s="6" t="s">
        <v>3</v>
      </c>
      <c r="AF89" s="6" t="s">
        <v>3</v>
      </c>
      <c r="AG89" s="6" t="s">
        <v>3</v>
      </c>
      <c r="AH89" s="6" t="s">
        <v>3</v>
      </c>
      <c r="AI89" s="6" t="s">
        <v>3</v>
      </c>
      <c r="AJ89" s="6" t="s">
        <v>3</v>
      </c>
      <c r="AK89" s="5">
        <f t="shared" si="34"/>
        <v>176.03574174732321</v>
      </c>
      <c r="AL89" s="7">
        <f t="shared" si="35"/>
        <v>1.3100515089981726</v>
      </c>
      <c r="AM89" s="7">
        <f t="shared" si="36"/>
        <v>1.9518745762796996</v>
      </c>
    </row>
    <row r="90" spans="10:39" x14ac:dyDescent="0.25">
      <c r="J90" s="3">
        <v>84</v>
      </c>
      <c r="K90" s="7">
        <v>-0.64235327613014848</v>
      </c>
      <c r="L90" s="7">
        <f t="shared" si="26"/>
        <v>1.6749397163381525</v>
      </c>
      <c r="M90" s="7">
        <f t="shared" ca="1" si="21"/>
        <v>1.7858863066150465</v>
      </c>
      <c r="N90" s="7">
        <f t="shared" si="22"/>
        <v>-0.64235327613014848</v>
      </c>
      <c r="O90" s="7">
        <v>1.7551640254229599</v>
      </c>
      <c r="P90" s="7">
        <f t="shared" si="23"/>
        <v>1.6595578261453698</v>
      </c>
      <c r="Q90" s="7">
        <f t="shared" si="27"/>
        <v>-9.5606199277590065E-2</v>
      </c>
      <c r="R90" s="7">
        <f t="shared" si="24"/>
        <v>1.2938627317999567</v>
      </c>
      <c r="S90" s="7">
        <f t="shared" si="28"/>
        <v>-3.6904103489840259E-2</v>
      </c>
      <c r="T90" s="7">
        <f t="shared" si="29"/>
        <v>1</v>
      </c>
      <c r="U90" s="7">
        <f t="shared" si="25"/>
        <v>1.9366811075674111</v>
      </c>
      <c r="V90" s="7">
        <f t="shared" si="30"/>
        <v>1.724412280372286E-2</v>
      </c>
      <c r="W90" s="7">
        <f t="shared" si="31"/>
        <v>0</v>
      </c>
      <c r="X90" s="8" t="s">
        <v>3</v>
      </c>
      <c r="Y90" s="7">
        <v>-0.64235327613014848</v>
      </c>
      <c r="Z90" s="7">
        <v>1.6595578261453698</v>
      </c>
      <c r="AC90" s="7">
        <f t="shared" si="32"/>
        <v>0.36569509434541314</v>
      </c>
      <c r="AD90" s="7">
        <f t="shared" si="33"/>
        <v>0.27712328142204123</v>
      </c>
      <c r="AE90" s="6" t="s">
        <v>3</v>
      </c>
      <c r="AF90" s="6" t="s">
        <v>3</v>
      </c>
      <c r="AG90" s="6" t="s">
        <v>3</v>
      </c>
      <c r="AH90" s="6" t="s">
        <v>3</v>
      </c>
      <c r="AI90" s="6" t="s">
        <v>3</v>
      </c>
      <c r="AJ90" s="6" t="s">
        <v>3</v>
      </c>
      <c r="AK90" s="5">
        <f t="shared" si="34"/>
        <v>177.59857936391188</v>
      </c>
      <c r="AL90" s="7">
        <f t="shared" si="35"/>
        <v>1.2938627317999567</v>
      </c>
      <c r="AM90" s="7">
        <f t="shared" si="36"/>
        <v>1.9366811075674111</v>
      </c>
    </row>
    <row r="91" spans="10:39" x14ac:dyDescent="0.25">
      <c r="J91" s="3">
        <v>85</v>
      </c>
      <c r="K91" s="7">
        <v>-0.64134417497518492</v>
      </c>
      <c r="L91" s="7">
        <f t="shared" si="26"/>
        <v>1.6701028130114461</v>
      </c>
      <c r="M91" s="7">
        <f t="shared" ca="1" si="21"/>
        <v>2.1616720706016621</v>
      </c>
      <c r="N91" s="7">
        <f t="shared" si="22"/>
        <v>-0.64134417497518492</v>
      </c>
      <c r="O91" s="7">
        <v>1.6812645132035966</v>
      </c>
      <c r="P91" s="7">
        <f t="shared" si="23"/>
        <v>1.6540053290733596</v>
      </c>
      <c r="Q91" s="7">
        <f t="shared" si="27"/>
        <v>-2.725918413023698E-2</v>
      </c>
      <c r="R91" s="7">
        <f t="shared" si="24"/>
        <v>1.2885225570193364</v>
      </c>
      <c r="S91" s="7">
        <f t="shared" si="28"/>
        <v>-3.141935649474082E-2</v>
      </c>
      <c r="T91" s="7">
        <f t="shared" si="29"/>
        <v>1</v>
      </c>
      <c r="U91" s="7">
        <f t="shared" si="25"/>
        <v>1.9317186435877596</v>
      </c>
      <c r="V91" s="7">
        <f t="shared" si="30"/>
        <v>2.3793142386495485E-2</v>
      </c>
      <c r="W91" s="7">
        <f t="shared" si="31"/>
        <v>0</v>
      </c>
      <c r="X91" s="8" t="s">
        <v>3</v>
      </c>
      <c r="Y91" s="7">
        <v>-0.64134417497518492</v>
      </c>
      <c r="Z91" s="7">
        <v>1.6540053290733596</v>
      </c>
      <c r="AC91" s="7">
        <f t="shared" si="32"/>
        <v>0.36548277205402324</v>
      </c>
      <c r="AD91" s="7">
        <f t="shared" si="33"/>
        <v>0.27771331451439996</v>
      </c>
      <c r="AE91" s="6" t="s">
        <v>3</v>
      </c>
      <c r="AF91" s="6" t="s">
        <v>3</v>
      </c>
      <c r="AG91" s="6" t="s">
        <v>3</v>
      </c>
      <c r="AH91" s="6" t="s">
        <v>3</v>
      </c>
      <c r="AI91" s="6" t="s">
        <v>3</v>
      </c>
      <c r="AJ91" s="6" t="s">
        <v>3</v>
      </c>
      <c r="AK91" s="5">
        <f t="shared" si="34"/>
        <v>178.10578039827573</v>
      </c>
      <c r="AL91" s="7">
        <f t="shared" si="35"/>
        <v>1.2885225570193364</v>
      </c>
      <c r="AM91" s="7">
        <f t="shared" si="36"/>
        <v>1.9317186435877596</v>
      </c>
    </row>
    <row r="92" spans="10:39" x14ac:dyDescent="0.25">
      <c r="J92" s="3">
        <v>86</v>
      </c>
      <c r="K92" s="7">
        <v>-0.6388303318316233</v>
      </c>
      <c r="L92" s="7">
        <f t="shared" si="26"/>
        <v>1.6579231188368124</v>
      </c>
      <c r="M92" s="7">
        <f t="shared" ca="1" si="21"/>
        <v>1.6868926781850111</v>
      </c>
      <c r="N92" s="7">
        <f t="shared" si="22"/>
        <v>-0.6388303318316233</v>
      </c>
      <c r="O92" s="7">
        <v>1.6042511707980709</v>
      </c>
      <c r="P92" s="7">
        <f t="shared" si="23"/>
        <v>1.6400268683135033</v>
      </c>
      <c r="Q92" s="7">
        <f t="shared" si="27"/>
        <v>3.5775697515432414E-2</v>
      </c>
      <c r="R92" s="7">
        <f t="shared" si="24"/>
        <v>1.2750415568687707</v>
      </c>
      <c r="S92" s="7">
        <f t="shared" si="28"/>
        <v>-2.6336769114344013E-2</v>
      </c>
      <c r="T92" s="7">
        <f t="shared" si="29"/>
        <v>1</v>
      </c>
      <c r="U92" s="7">
        <f t="shared" si="25"/>
        <v>1.919292659635198</v>
      </c>
      <c r="V92" s="7">
        <f t="shared" si="30"/>
        <v>2.9928941439527078E-2</v>
      </c>
      <c r="W92" s="7">
        <f t="shared" si="31"/>
        <v>0</v>
      </c>
      <c r="X92" s="8" t="s">
        <v>3</v>
      </c>
      <c r="Y92" s="7">
        <v>-0.6388303318316233</v>
      </c>
      <c r="Z92" s="7">
        <v>1.6400268683135033</v>
      </c>
      <c r="AC92" s="7">
        <f t="shared" si="32"/>
        <v>0.36498531144473256</v>
      </c>
      <c r="AD92" s="7">
        <f t="shared" si="33"/>
        <v>0.27926579132169471</v>
      </c>
      <c r="AE92" s="6" t="s">
        <v>3</v>
      </c>
      <c r="AF92" s="6" t="s">
        <v>3</v>
      </c>
      <c r="AG92" s="6" t="s">
        <v>3</v>
      </c>
      <c r="AH92" s="6" t="s">
        <v>3</v>
      </c>
      <c r="AI92" s="6" t="s">
        <v>3</v>
      </c>
      <c r="AJ92" s="6" t="s">
        <v>3</v>
      </c>
      <c r="AK92" s="5">
        <f t="shared" si="34"/>
        <v>179.36930471035424</v>
      </c>
      <c r="AL92" s="7">
        <f t="shared" si="35"/>
        <v>1.2750415568687707</v>
      </c>
      <c r="AM92" s="7">
        <f t="shared" si="36"/>
        <v>1.919292659635198</v>
      </c>
    </row>
    <row r="93" spans="10:39" x14ac:dyDescent="0.25">
      <c r="J93" s="3">
        <v>87</v>
      </c>
      <c r="K93" s="7">
        <v>-0.63654981969842539</v>
      </c>
      <c r="L93" s="7">
        <f t="shared" si="26"/>
        <v>1.6467177604014869</v>
      </c>
      <c r="M93" s="7">
        <f t="shared" ca="1" si="21"/>
        <v>1.7799923161760136</v>
      </c>
      <c r="N93" s="7">
        <f t="shared" si="22"/>
        <v>-0.63654981969842539</v>
      </c>
      <c r="O93" s="7">
        <v>1.4718755606664744</v>
      </c>
      <c r="P93" s="7">
        <f t="shared" si="23"/>
        <v>1.627171829505367</v>
      </c>
      <c r="Q93" s="7">
        <f t="shared" si="27"/>
        <v>0.15529626883889258</v>
      </c>
      <c r="R93" s="7">
        <f t="shared" si="24"/>
        <v>1.2625991571306687</v>
      </c>
      <c r="S93" s="7">
        <f t="shared" si="28"/>
        <v>-1.6742112282864454E-2</v>
      </c>
      <c r="T93" s="7">
        <f t="shared" si="29"/>
        <v>1</v>
      </c>
      <c r="U93" s="7">
        <f t="shared" si="25"/>
        <v>1.9079453652040705</v>
      </c>
      <c r="V93" s="7">
        <f t="shared" si="30"/>
        <v>4.1426631431071635E-2</v>
      </c>
      <c r="W93" s="7">
        <f t="shared" si="31"/>
        <v>0</v>
      </c>
      <c r="X93" s="8" t="s">
        <v>3</v>
      </c>
      <c r="Y93" s="7">
        <v>-0.63654981969842539</v>
      </c>
      <c r="Z93" s="7">
        <v>1.627171829505367</v>
      </c>
      <c r="AC93" s="7">
        <f t="shared" si="32"/>
        <v>0.36457267237469826</v>
      </c>
      <c r="AD93" s="7">
        <f t="shared" si="33"/>
        <v>0.28077353569870356</v>
      </c>
      <c r="AE93" s="6" t="s">
        <v>3</v>
      </c>
      <c r="AF93" s="6" t="s">
        <v>3</v>
      </c>
      <c r="AG93" s="6" t="s">
        <v>3</v>
      </c>
      <c r="AH93" s="6" t="s">
        <v>3</v>
      </c>
      <c r="AI93" s="6" t="s">
        <v>3</v>
      </c>
      <c r="AJ93" s="6" t="s">
        <v>3</v>
      </c>
      <c r="AK93" s="5">
        <f t="shared" si="34"/>
        <v>180.51555066116683</v>
      </c>
      <c r="AL93" s="7">
        <f t="shared" si="35"/>
        <v>1.2625991571306687</v>
      </c>
      <c r="AM93" s="7">
        <f t="shared" si="36"/>
        <v>1.9079453652040705</v>
      </c>
    </row>
    <row r="94" spans="10:39" x14ac:dyDescent="0.25">
      <c r="J94" s="3">
        <v>88</v>
      </c>
      <c r="K94" s="7">
        <v>-0.63346969381815477</v>
      </c>
      <c r="L94" s="7">
        <f t="shared" si="26"/>
        <v>1.6313568204952249</v>
      </c>
      <c r="M94" s="7">
        <f t="shared" ca="1" si="21"/>
        <v>1.5174137685833737</v>
      </c>
      <c r="N94" s="7">
        <f t="shared" si="22"/>
        <v>-0.63346969381815477</v>
      </c>
      <c r="O94" s="7">
        <v>1.336883614387278</v>
      </c>
      <c r="P94" s="7">
        <f t="shared" si="23"/>
        <v>1.6095599639945941</v>
      </c>
      <c r="Q94" s="7">
        <f t="shared" si="27"/>
        <v>0.27267634960731613</v>
      </c>
      <c r="R94" s="7">
        <f t="shared" si="24"/>
        <v>1.245486747871112</v>
      </c>
      <c r="S94" s="7">
        <f t="shared" si="28"/>
        <v>-7.3117493212932769E-3</v>
      </c>
      <c r="T94" s="7">
        <f t="shared" si="29"/>
        <v>1</v>
      </c>
      <c r="U94" s="7">
        <f t="shared" si="25"/>
        <v>1.8925144115716619</v>
      </c>
      <c r="V94" s="7">
        <f t="shared" si="30"/>
        <v>5.2784925732516474E-2</v>
      </c>
      <c r="W94" s="7">
        <f t="shared" si="31"/>
        <v>0</v>
      </c>
      <c r="X94" s="8" t="s">
        <v>3</v>
      </c>
      <c r="Y94" s="7">
        <v>-0.63346969381815477</v>
      </c>
      <c r="Z94" s="7">
        <v>1.6095599639945941</v>
      </c>
      <c r="AC94" s="7">
        <f t="shared" si="32"/>
        <v>0.36407321612348209</v>
      </c>
      <c r="AD94" s="7">
        <f t="shared" si="33"/>
        <v>0.28295444757706778</v>
      </c>
      <c r="AE94" s="6" t="s">
        <v>3</v>
      </c>
      <c r="AF94" s="6" t="s">
        <v>3</v>
      </c>
      <c r="AG94" s="6" t="s">
        <v>3</v>
      </c>
      <c r="AH94" s="6" t="s">
        <v>3</v>
      </c>
      <c r="AI94" s="6" t="s">
        <v>3</v>
      </c>
      <c r="AJ94" s="6" t="s">
        <v>3</v>
      </c>
      <c r="AK94" s="5">
        <f t="shared" si="34"/>
        <v>182.06370371278095</v>
      </c>
      <c r="AL94" s="7">
        <f t="shared" si="35"/>
        <v>1.245486747871112</v>
      </c>
      <c r="AM94" s="7">
        <f t="shared" si="36"/>
        <v>1.8925144115716619</v>
      </c>
    </row>
    <row r="95" spans="10:39" x14ac:dyDescent="0.25">
      <c r="J95" s="3">
        <v>89</v>
      </c>
      <c r="K95" s="7">
        <v>-0.63005061467934298</v>
      </c>
      <c r="L95" s="7">
        <f t="shared" si="26"/>
        <v>1.6140140934975555</v>
      </c>
      <c r="M95" s="7">
        <f t="shared" ca="1" si="21"/>
        <v>1.4576872978095299</v>
      </c>
      <c r="N95" s="7">
        <f t="shared" si="22"/>
        <v>-0.63005061467934298</v>
      </c>
      <c r="O95" s="7">
        <v>1.5742847118581966</v>
      </c>
      <c r="P95" s="7">
        <f t="shared" si="23"/>
        <v>1.589694256796703</v>
      </c>
      <c r="Q95" s="7">
        <f t="shared" si="27"/>
        <v>1.5409544938506325E-2</v>
      </c>
      <c r="R95" s="7">
        <f t="shared" si="24"/>
        <v>1.2260984763480982</v>
      </c>
      <c r="S95" s="7">
        <f t="shared" si="28"/>
        <v>-2.7854898840807874E-2</v>
      </c>
      <c r="T95" s="7">
        <f t="shared" si="29"/>
        <v>1</v>
      </c>
      <c r="U95" s="7">
        <f t="shared" si="25"/>
        <v>1.8752554327495305</v>
      </c>
      <c r="V95" s="7">
        <f t="shared" si="30"/>
        <v>2.8592218484676721E-2</v>
      </c>
      <c r="W95" s="7">
        <f t="shared" si="31"/>
        <v>0</v>
      </c>
      <c r="X95" s="8" t="s">
        <v>3</v>
      </c>
      <c r="Y95" s="7">
        <v>-0.63005061467934298</v>
      </c>
      <c r="Z95" s="7">
        <v>1.589694256796703</v>
      </c>
      <c r="AC95" s="7">
        <f t="shared" si="32"/>
        <v>0.36359578044860474</v>
      </c>
      <c r="AD95" s="7">
        <f t="shared" si="33"/>
        <v>0.2855611759528276</v>
      </c>
      <c r="AE95" s="6" t="s">
        <v>3</v>
      </c>
      <c r="AF95" s="6" t="s">
        <v>3</v>
      </c>
      <c r="AG95" s="6" t="s">
        <v>3</v>
      </c>
      <c r="AH95" s="6" t="s">
        <v>3</v>
      </c>
      <c r="AI95" s="6" t="s">
        <v>3</v>
      </c>
      <c r="AJ95" s="6" t="s">
        <v>3</v>
      </c>
      <c r="AK95" s="5">
        <f t="shared" si="34"/>
        <v>183.78222367210043</v>
      </c>
      <c r="AL95" s="7">
        <f t="shared" si="35"/>
        <v>1.2260984763480982</v>
      </c>
      <c r="AM95" s="7">
        <f t="shared" si="36"/>
        <v>1.8752554327495305</v>
      </c>
    </row>
    <row r="96" spans="10:39" x14ac:dyDescent="0.25">
      <c r="J96" s="3">
        <v>90</v>
      </c>
      <c r="K96" s="7">
        <v>-0.62033775339702424</v>
      </c>
      <c r="L96" s="7">
        <f t="shared" si="26"/>
        <v>1.5632171192376818</v>
      </c>
      <c r="M96" s="7">
        <f t="shared" ca="1" si="21"/>
        <v>1.6075842498762181</v>
      </c>
      <c r="N96" s="7">
        <f t="shared" si="22"/>
        <v>-0.62033775339702424</v>
      </c>
      <c r="O96" s="7">
        <v>1.5983556323819359</v>
      </c>
      <c r="P96" s="7">
        <f t="shared" si="23"/>
        <v>1.531658877807526</v>
      </c>
      <c r="Q96" s="7">
        <f t="shared" si="27"/>
        <v>-6.6696754574409933E-2</v>
      </c>
      <c r="R96" s="7">
        <f t="shared" si="24"/>
        <v>1.1689893323479952</v>
      </c>
      <c r="S96" s="7">
        <f t="shared" si="28"/>
        <v>-3.4349304002715256E-2</v>
      </c>
      <c r="T96" s="7">
        <f t="shared" si="29"/>
        <v>1</v>
      </c>
      <c r="U96" s="7">
        <f t="shared" si="25"/>
        <v>1.8255950123230735</v>
      </c>
      <c r="V96" s="7">
        <f t="shared" si="30"/>
        <v>2.1587741094408076E-2</v>
      </c>
      <c r="W96" s="7">
        <f t="shared" si="31"/>
        <v>0</v>
      </c>
      <c r="X96" s="8" t="s">
        <v>3</v>
      </c>
      <c r="Y96" s="7">
        <v>-0.62033775339702424</v>
      </c>
      <c r="Z96" s="7">
        <v>1.531658877807526</v>
      </c>
      <c r="AC96" s="7">
        <f t="shared" si="32"/>
        <v>0.36266954545953078</v>
      </c>
      <c r="AD96" s="7">
        <f t="shared" si="33"/>
        <v>0.29393613451554756</v>
      </c>
      <c r="AE96" s="6" t="s">
        <v>3</v>
      </c>
      <c r="AF96" s="6" t="s">
        <v>3</v>
      </c>
      <c r="AG96" s="6" t="s">
        <v>3</v>
      </c>
      <c r="AH96" s="6" t="s">
        <v>3</v>
      </c>
      <c r="AI96" s="6" t="s">
        <v>3</v>
      </c>
      <c r="AJ96" s="6" t="s">
        <v>3</v>
      </c>
      <c r="AK96" s="5">
        <f t="shared" si="34"/>
        <v>188.66416565065524</v>
      </c>
      <c r="AL96" s="7">
        <f t="shared" si="35"/>
        <v>1.1689893323479952</v>
      </c>
      <c r="AM96" s="7">
        <f t="shared" si="36"/>
        <v>1.8255950123230735</v>
      </c>
    </row>
    <row r="97" spans="10:39" x14ac:dyDescent="0.25">
      <c r="J97" s="3">
        <v>91</v>
      </c>
      <c r="K97" s="7">
        <v>-0.61891436953217016</v>
      </c>
      <c r="L97" s="7">
        <f t="shared" si="26"/>
        <v>1.5555985174532467</v>
      </c>
      <c r="M97" s="7">
        <f t="shared" ca="1" si="21"/>
        <v>1.5506527678399857</v>
      </c>
      <c r="N97" s="7">
        <f t="shared" si="22"/>
        <v>-0.61891436953217016</v>
      </c>
      <c r="O97" s="7">
        <v>1.3183350081147029</v>
      </c>
      <c r="P97" s="7">
        <f t="shared" si="23"/>
        <v>1.5229783971308235</v>
      </c>
      <c r="Q97" s="7">
        <f t="shared" si="27"/>
        <v>0.20464338901612056</v>
      </c>
      <c r="R97" s="7">
        <f t="shared" si="24"/>
        <v>1.1603926945605767</v>
      </c>
      <c r="S97" s="7">
        <f t="shared" si="28"/>
        <v>-1.2635385084330099E-2</v>
      </c>
      <c r="T97" s="7">
        <f t="shared" si="29"/>
        <v>1</v>
      </c>
      <c r="U97" s="7">
        <f t="shared" si="25"/>
        <v>1.8182511400632717</v>
      </c>
      <c r="V97" s="7">
        <f t="shared" si="30"/>
        <v>4.7492032535114033E-2</v>
      </c>
      <c r="W97" s="7">
        <f t="shared" si="31"/>
        <v>0</v>
      </c>
      <c r="X97" s="8" t="s">
        <v>3</v>
      </c>
      <c r="Y97" s="7">
        <v>-0.61891436953217016</v>
      </c>
      <c r="Z97" s="7">
        <v>1.5229783971308235</v>
      </c>
      <c r="AC97" s="7">
        <f t="shared" si="32"/>
        <v>0.3625857025702468</v>
      </c>
      <c r="AD97" s="7">
        <f t="shared" si="33"/>
        <v>0.29527274293244821</v>
      </c>
      <c r="AE97" s="6" t="s">
        <v>3</v>
      </c>
      <c r="AF97" s="6" t="s">
        <v>3</v>
      </c>
      <c r="AG97" s="6" t="s">
        <v>3</v>
      </c>
      <c r="AH97" s="6" t="s">
        <v>3</v>
      </c>
      <c r="AI97" s="6" t="s">
        <v>3</v>
      </c>
      <c r="AJ97" s="6" t="s">
        <v>3</v>
      </c>
      <c r="AK97" s="5">
        <f t="shared" si="34"/>
        <v>189.37959617513707</v>
      </c>
      <c r="AL97" s="7">
        <f t="shared" si="35"/>
        <v>1.1603926945605767</v>
      </c>
      <c r="AM97" s="7">
        <f t="shared" si="36"/>
        <v>1.8182511400632717</v>
      </c>
    </row>
    <row r="98" spans="10:39" x14ac:dyDescent="0.25">
      <c r="J98" s="3">
        <v>92</v>
      </c>
      <c r="K98" s="7">
        <v>-0.61550411138239514</v>
      </c>
      <c r="L98" s="7">
        <f t="shared" si="26"/>
        <v>1.5371797935134746</v>
      </c>
      <c r="M98" s="7">
        <f t="shared" ca="1" si="21"/>
        <v>1.5600793017524672</v>
      </c>
      <c r="N98" s="7">
        <f t="shared" si="22"/>
        <v>-0.61550411138239514</v>
      </c>
      <c r="O98" s="7">
        <v>1.3209413078625589</v>
      </c>
      <c r="P98" s="7">
        <f t="shared" si="23"/>
        <v>1.5020224207091981</v>
      </c>
      <c r="Q98" s="7">
        <f t="shared" si="27"/>
        <v>0.18108111284663919</v>
      </c>
      <c r="R98" s="7">
        <f t="shared" si="24"/>
        <v>1.1395854696408967</v>
      </c>
      <c r="S98" s="7">
        <f t="shared" si="28"/>
        <v>-1.4508467057732979E-2</v>
      </c>
      <c r="T98" s="7">
        <f t="shared" si="29"/>
        <v>1</v>
      </c>
      <c r="U98" s="7">
        <f t="shared" si="25"/>
        <v>1.8005991299609898</v>
      </c>
      <c r="V98" s="7">
        <f t="shared" si="30"/>
        <v>4.5567493099350938E-2</v>
      </c>
      <c r="W98" s="7">
        <f t="shared" si="31"/>
        <v>0</v>
      </c>
      <c r="X98" s="8" t="s">
        <v>3</v>
      </c>
      <c r="Y98" s="7">
        <v>-0.61550411138239514</v>
      </c>
      <c r="Z98" s="7">
        <v>1.5020224207091981</v>
      </c>
      <c r="AC98" s="7">
        <f t="shared" si="32"/>
        <v>0.36243695106830143</v>
      </c>
      <c r="AD98" s="7">
        <f t="shared" si="33"/>
        <v>0.29857670925179169</v>
      </c>
      <c r="AE98" s="6" t="s">
        <v>3</v>
      </c>
      <c r="AF98" s="6" t="s">
        <v>3</v>
      </c>
      <c r="AG98" s="6" t="s">
        <v>3</v>
      </c>
      <c r="AH98" s="6" t="s">
        <v>3</v>
      </c>
      <c r="AI98" s="6" t="s">
        <v>3</v>
      </c>
      <c r="AJ98" s="6" t="s">
        <v>3</v>
      </c>
      <c r="AK98" s="5">
        <f t="shared" si="34"/>
        <v>191.0936824711498</v>
      </c>
      <c r="AL98" s="7">
        <f t="shared" si="35"/>
        <v>1.1395854696408967</v>
      </c>
      <c r="AM98" s="7">
        <f t="shared" si="36"/>
        <v>1.8005991299609898</v>
      </c>
    </row>
    <row r="99" spans="10:39" x14ac:dyDescent="0.25">
      <c r="J99" s="3">
        <v>93</v>
      </c>
      <c r="K99" s="7">
        <v>-0.60575124198580488</v>
      </c>
      <c r="L99" s="7">
        <f t="shared" si="26"/>
        <v>1.4833380417143038</v>
      </c>
      <c r="M99" s="7">
        <f t="shared" ca="1" si="21"/>
        <v>1.369150281531804</v>
      </c>
      <c r="N99" s="7">
        <f t="shared" si="22"/>
        <v>-0.60575124198580488</v>
      </c>
      <c r="O99" s="7">
        <v>1.4583721891850112</v>
      </c>
      <c r="P99" s="7">
        <f t="shared" si="23"/>
        <v>1.4410402317437319</v>
      </c>
      <c r="Q99" s="7">
        <f t="shared" si="27"/>
        <v>-1.7331957441279355E-2</v>
      </c>
      <c r="R99" s="7">
        <f t="shared" si="24"/>
        <v>1.0786391916228406</v>
      </c>
      <c r="S99" s="7">
        <f t="shared" si="28"/>
        <v>-3.0378639804973649E-2</v>
      </c>
      <c r="T99" s="7">
        <f t="shared" si="29"/>
        <v>1</v>
      </c>
      <c r="U99" s="7">
        <f t="shared" si="25"/>
        <v>1.7497606148152574</v>
      </c>
      <c r="V99" s="7">
        <f t="shared" si="30"/>
        <v>2.7681900434873383E-2</v>
      </c>
      <c r="W99" s="7">
        <f t="shared" si="31"/>
        <v>0</v>
      </c>
      <c r="X99" s="8" t="s">
        <v>3</v>
      </c>
      <c r="Y99" s="7">
        <v>-0.60575124198580488</v>
      </c>
      <c r="Z99" s="7">
        <v>1.4410402317437319</v>
      </c>
      <c r="AC99" s="7">
        <f t="shared" si="32"/>
        <v>0.36240104012089125</v>
      </c>
      <c r="AD99" s="7">
        <f t="shared" si="33"/>
        <v>0.30872038307152549</v>
      </c>
      <c r="AE99" s="6" t="s">
        <v>3</v>
      </c>
      <c r="AF99" s="6" t="s">
        <v>3</v>
      </c>
      <c r="AG99" s="6" t="s">
        <v>3</v>
      </c>
      <c r="AH99" s="6" t="s">
        <v>3</v>
      </c>
      <c r="AI99" s="6" t="s">
        <v>3</v>
      </c>
      <c r="AJ99" s="6" t="s">
        <v>3</v>
      </c>
      <c r="AK99" s="5">
        <f t="shared" si="34"/>
        <v>195.99573359024188</v>
      </c>
      <c r="AL99" s="7">
        <f t="shared" si="35"/>
        <v>1.0786391916228406</v>
      </c>
      <c r="AM99" s="7">
        <f t="shared" si="36"/>
        <v>1.7497606148152574</v>
      </c>
    </row>
    <row r="100" spans="10:39" x14ac:dyDescent="0.25">
      <c r="J100" s="3">
        <v>94</v>
      </c>
      <c r="K100" s="7">
        <v>-0.6054117387519391</v>
      </c>
      <c r="L100" s="7">
        <f t="shared" si="26"/>
        <v>1.4814356015073347</v>
      </c>
      <c r="M100" s="7">
        <f t="shared" ca="1" si="21"/>
        <v>1.6845061123543894</v>
      </c>
      <c r="N100" s="7">
        <f t="shared" si="22"/>
        <v>-0.6054117387519391</v>
      </c>
      <c r="O100" s="7">
        <v>1.043927035850958</v>
      </c>
      <c r="P100" s="7">
        <f t="shared" si="23"/>
        <v>1.438893832720948</v>
      </c>
      <c r="Q100" s="7">
        <f t="shared" si="27"/>
        <v>0.39496679686998992</v>
      </c>
      <c r="R100" s="7">
        <f t="shared" si="24"/>
        <v>1.0764840817902752</v>
      </c>
      <c r="S100" s="7">
        <f t="shared" si="28"/>
        <v>2.9952482264171812E-2</v>
      </c>
      <c r="T100" s="7">
        <f t="shared" si="29"/>
        <v>0</v>
      </c>
      <c r="U100" s="7">
        <f t="shared" si="25"/>
        <v>1.747983459163577</v>
      </c>
      <c r="V100" s="7">
        <f t="shared" si="30"/>
        <v>6.6885360214698805E-2</v>
      </c>
      <c r="W100" s="7">
        <f t="shared" si="31"/>
        <v>0</v>
      </c>
      <c r="X100" s="8" t="s">
        <v>3</v>
      </c>
      <c r="Y100" s="7">
        <v>-0.6054117387519391</v>
      </c>
      <c r="Z100" s="7">
        <v>1.438893832720948</v>
      </c>
      <c r="AC100" s="7">
        <f t="shared" si="32"/>
        <v>0.36240975093067274</v>
      </c>
      <c r="AD100" s="7">
        <f t="shared" si="33"/>
        <v>0.30908962644262905</v>
      </c>
      <c r="AE100" s="6" t="s">
        <v>3</v>
      </c>
      <c r="AF100" s="6" t="s">
        <v>3</v>
      </c>
      <c r="AG100" s="6" t="s">
        <v>3</v>
      </c>
      <c r="AH100" s="6" t="s">
        <v>3</v>
      </c>
      <c r="AI100" s="6" t="s">
        <v>3</v>
      </c>
      <c r="AJ100" s="6" t="s">
        <v>3</v>
      </c>
      <c r="AK100" s="5">
        <f t="shared" si="34"/>
        <v>196.16637693014846</v>
      </c>
      <c r="AL100" s="7">
        <f t="shared" si="35"/>
        <v>1.0764840817902752</v>
      </c>
      <c r="AM100" s="7">
        <f t="shared" si="36"/>
        <v>1.747983459163577</v>
      </c>
    </row>
    <row r="101" spans="10:39" x14ac:dyDescent="0.25">
      <c r="J101" s="3">
        <v>95</v>
      </c>
      <c r="K101" s="7">
        <v>-0.6014815285853683</v>
      </c>
      <c r="L101" s="7">
        <f t="shared" si="26"/>
        <v>1.459289059067163</v>
      </c>
      <c r="M101" s="7">
        <f t="shared" ca="1" si="21"/>
        <v>1.5378458345192794</v>
      </c>
      <c r="N101" s="7">
        <f t="shared" si="22"/>
        <v>-0.6014815285853683</v>
      </c>
      <c r="O101" s="7">
        <v>1.1631573415311836</v>
      </c>
      <c r="P101" s="7">
        <f t="shared" si="23"/>
        <v>1.4139532171182509</v>
      </c>
      <c r="Q101" s="7">
        <f t="shared" si="27"/>
        <v>0.2507958755870674</v>
      </c>
      <c r="R101" s="7">
        <f t="shared" si="24"/>
        <v>1.0513962025627031</v>
      </c>
      <c r="S101" s="7">
        <f t="shared" si="28"/>
        <v>-8.9408911174784396E-3</v>
      </c>
      <c r="T101" s="7">
        <f t="shared" si="29"/>
        <v>1</v>
      </c>
      <c r="U101" s="7">
        <f t="shared" si="25"/>
        <v>1.7273840620551661</v>
      </c>
      <c r="V101" s="7">
        <f t="shared" si="30"/>
        <v>5.3601538449778344E-2</v>
      </c>
      <c r="W101" s="7">
        <f t="shared" si="31"/>
        <v>0</v>
      </c>
      <c r="X101" s="8" t="s">
        <v>3</v>
      </c>
      <c r="Y101" s="7">
        <v>-0.6014815285853683</v>
      </c>
      <c r="Z101" s="7">
        <v>1.4139532171182509</v>
      </c>
      <c r="AC101" s="7">
        <f t="shared" si="32"/>
        <v>0.3625570145555479</v>
      </c>
      <c r="AD101" s="7">
        <f t="shared" si="33"/>
        <v>0.3134308449369152</v>
      </c>
      <c r="AE101" s="6" t="s">
        <v>3</v>
      </c>
      <c r="AF101" s="6" t="s">
        <v>3</v>
      </c>
      <c r="AG101" s="6" t="s">
        <v>3</v>
      </c>
      <c r="AH101" s="6" t="s">
        <v>3</v>
      </c>
      <c r="AI101" s="6" t="s">
        <v>3</v>
      </c>
      <c r="AJ101" s="6" t="s">
        <v>3</v>
      </c>
      <c r="AK101" s="5">
        <f t="shared" si="34"/>
        <v>198.14180491568482</v>
      </c>
      <c r="AL101" s="7">
        <f t="shared" si="35"/>
        <v>1.0513962025627031</v>
      </c>
      <c r="AM101" s="7">
        <f t="shared" si="36"/>
        <v>1.7273840620551661</v>
      </c>
    </row>
    <row r="102" spans="10:39" x14ac:dyDescent="0.25">
      <c r="J102" s="3">
        <v>96</v>
      </c>
      <c r="K102" s="7">
        <v>-0.59965345563573247</v>
      </c>
      <c r="L102" s="7">
        <f t="shared" si="26"/>
        <v>1.448914618997198</v>
      </c>
      <c r="M102" s="7">
        <f t="shared" ca="1" si="21"/>
        <v>1.9771064985087325</v>
      </c>
      <c r="N102" s="7">
        <f t="shared" si="22"/>
        <v>-0.59965345563573247</v>
      </c>
      <c r="O102" s="7">
        <v>1.4833124578624153</v>
      </c>
      <c r="P102" s="7">
        <f t="shared" si="23"/>
        <v>1.4023000301661233</v>
      </c>
      <c r="Q102" s="7">
        <f t="shared" si="27"/>
        <v>-8.1012427696292022E-2</v>
      </c>
      <c r="R102" s="7">
        <f t="shared" si="24"/>
        <v>1.0396460726762009</v>
      </c>
      <c r="S102" s="7">
        <f t="shared" si="28"/>
        <v>-3.549331081489715E-2</v>
      </c>
      <c r="T102" s="7">
        <f t="shared" si="29"/>
        <v>1</v>
      </c>
      <c r="U102" s="7">
        <f t="shared" si="25"/>
        <v>1.7177886275525123</v>
      </c>
      <c r="V102" s="7">
        <f t="shared" si="30"/>
        <v>2.2275236120559216E-2</v>
      </c>
      <c r="W102" s="7">
        <f t="shared" si="31"/>
        <v>0</v>
      </c>
      <c r="X102" s="8" t="s">
        <v>3</v>
      </c>
      <c r="Y102" s="7">
        <v>-0.59965345563573247</v>
      </c>
      <c r="Z102" s="7">
        <v>1.4023000301661233</v>
      </c>
      <c r="AC102" s="7">
        <f t="shared" si="32"/>
        <v>0.36265395748992235</v>
      </c>
      <c r="AD102" s="7">
        <f t="shared" si="33"/>
        <v>0.31548859738638901</v>
      </c>
      <c r="AE102" s="6" t="s">
        <v>3</v>
      </c>
      <c r="AF102" s="6" t="s">
        <v>3</v>
      </c>
      <c r="AG102" s="6" t="s">
        <v>3</v>
      </c>
      <c r="AH102" s="6" t="s">
        <v>3</v>
      </c>
      <c r="AI102" s="6" t="s">
        <v>3</v>
      </c>
      <c r="AJ102" s="6" t="s">
        <v>3</v>
      </c>
      <c r="AK102" s="5">
        <f t="shared" si="34"/>
        <v>199.0606429195729</v>
      </c>
      <c r="AL102" s="7">
        <f t="shared" si="35"/>
        <v>1.0396460726762009</v>
      </c>
      <c r="AM102" s="7">
        <f t="shared" si="36"/>
        <v>1.7177886275525123</v>
      </c>
    </row>
    <row r="103" spans="10:39" x14ac:dyDescent="0.25">
      <c r="J103" s="3">
        <v>97</v>
      </c>
      <c r="K103" s="7">
        <v>-0.5988586632604882</v>
      </c>
      <c r="L103" s="7">
        <f t="shared" si="26"/>
        <v>1.4443904286707268</v>
      </c>
      <c r="M103" s="7">
        <f t="shared" ca="1" si="21"/>
        <v>1.7046837385167872</v>
      </c>
      <c r="N103" s="7">
        <f t="shared" si="22"/>
        <v>-0.5988586632604882</v>
      </c>
      <c r="O103" s="7">
        <v>1.6127676274955989</v>
      </c>
      <c r="P103" s="7">
        <f t="shared" si="23"/>
        <v>1.3972244314195115</v>
      </c>
      <c r="Q103" s="7">
        <f t="shared" si="27"/>
        <v>-0.21554319607608741</v>
      </c>
      <c r="R103" s="7">
        <f t="shared" si="24"/>
        <v>1.0345228392484773</v>
      </c>
      <c r="S103" s="7">
        <f t="shared" si="28"/>
        <v>-4.6259583059769724E-2</v>
      </c>
      <c r="T103" s="7">
        <f t="shared" si="29"/>
        <v>1</v>
      </c>
      <c r="U103" s="7">
        <f t="shared" si="25"/>
        <v>1.7136145931332882</v>
      </c>
      <c r="V103" s="7">
        <f t="shared" si="30"/>
        <v>9.5804617355804891E-3</v>
      </c>
      <c r="W103" s="7">
        <f t="shared" si="31"/>
        <v>0</v>
      </c>
      <c r="X103" s="8" t="s">
        <v>3</v>
      </c>
      <c r="Y103" s="7">
        <v>-0.5988586632604882</v>
      </c>
      <c r="Z103" s="7">
        <v>1.3972244314195115</v>
      </c>
      <c r="AC103" s="7">
        <f t="shared" si="32"/>
        <v>0.36270159217103415</v>
      </c>
      <c r="AD103" s="7">
        <f t="shared" si="33"/>
        <v>0.31639016171377676</v>
      </c>
      <c r="AE103" s="6" t="s">
        <v>3</v>
      </c>
      <c r="AF103" s="6" t="s">
        <v>3</v>
      </c>
      <c r="AG103" s="6" t="s">
        <v>3</v>
      </c>
      <c r="AH103" s="6" t="s">
        <v>3</v>
      </c>
      <c r="AI103" s="6" t="s">
        <v>3</v>
      </c>
      <c r="AJ103" s="6" t="s">
        <v>3</v>
      </c>
      <c r="AK103" s="5">
        <f t="shared" si="34"/>
        <v>199.46012667087527</v>
      </c>
      <c r="AL103" s="7">
        <f t="shared" si="35"/>
        <v>1.0345228392484773</v>
      </c>
      <c r="AM103" s="7">
        <f t="shared" si="36"/>
        <v>1.7136145931332882</v>
      </c>
    </row>
    <row r="104" spans="10:39" x14ac:dyDescent="0.25">
      <c r="J104" s="3">
        <v>98</v>
      </c>
      <c r="K104" s="7">
        <v>-0.58977843972543154</v>
      </c>
      <c r="L104" s="7">
        <f t="shared" si="26"/>
        <v>1.3921772088946829</v>
      </c>
      <c r="M104" s="7">
        <f t="shared" ca="1" si="21"/>
        <v>1.477879728229671</v>
      </c>
      <c r="N104" s="7">
        <f t="shared" si="22"/>
        <v>-0.58977843972543154</v>
      </c>
      <c r="O104" s="7">
        <v>0.90158151442448875</v>
      </c>
      <c r="P104" s="7">
        <f t="shared" si="23"/>
        <v>1.3389385281167543</v>
      </c>
      <c r="Q104" s="7">
        <f t="shared" si="27"/>
        <v>0.43735701369226554</v>
      </c>
      <c r="R104" s="7">
        <f t="shared" si="24"/>
        <v>0.9754683792522334</v>
      </c>
      <c r="S104" s="7">
        <f t="shared" si="28"/>
        <v>6.7975915641525081E-2</v>
      </c>
      <c r="T104" s="7">
        <f t="shared" si="29"/>
        <v>0</v>
      </c>
      <c r="U104" s="7">
        <f t="shared" si="25"/>
        <v>1.6658720127876603</v>
      </c>
      <c r="V104" s="7">
        <f t="shared" si="30"/>
        <v>7.2607597344501298E-2</v>
      </c>
      <c r="W104" s="7">
        <f t="shared" si="31"/>
        <v>0</v>
      </c>
      <c r="X104" s="8" t="s">
        <v>3</v>
      </c>
      <c r="Y104" s="7">
        <v>-0.58977843972543154</v>
      </c>
      <c r="Z104" s="7">
        <v>1.3389385281167543</v>
      </c>
      <c r="AC104" s="7">
        <f t="shared" si="32"/>
        <v>0.36347014886452089</v>
      </c>
      <c r="AD104" s="7">
        <f t="shared" si="33"/>
        <v>0.32693348467090599</v>
      </c>
      <c r="AE104" s="6" t="s">
        <v>3</v>
      </c>
      <c r="AF104" s="6" t="s">
        <v>3</v>
      </c>
      <c r="AG104" s="6" t="s">
        <v>3</v>
      </c>
      <c r="AH104" s="6" t="s">
        <v>3</v>
      </c>
      <c r="AI104" s="6" t="s">
        <v>3</v>
      </c>
      <c r="AJ104" s="6" t="s">
        <v>3</v>
      </c>
      <c r="AK104" s="5">
        <f t="shared" si="34"/>
        <v>204.02408811971745</v>
      </c>
      <c r="AL104" s="7">
        <f t="shared" si="35"/>
        <v>0.9754683792522334</v>
      </c>
      <c r="AM104" s="7">
        <f t="shared" si="36"/>
        <v>1.6658720127876603</v>
      </c>
    </row>
    <row r="105" spans="10:39" x14ac:dyDescent="0.25">
      <c r="J105" s="3">
        <v>99</v>
      </c>
      <c r="K105" s="7">
        <v>-0.58965668732368393</v>
      </c>
      <c r="L105" s="7">
        <f t="shared" si="26"/>
        <v>1.3914711958930961</v>
      </c>
      <c r="M105" s="7">
        <f t="shared" ca="1" si="21"/>
        <v>1.459126015652749</v>
      </c>
      <c r="N105" s="7">
        <f t="shared" si="22"/>
        <v>-0.58965668732368393</v>
      </c>
      <c r="O105" s="7">
        <v>1.5540599260994579</v>
      </c>
      <c r="P105" s="7">
        <f t="shared" si="23"/>
        <v>1.3381542470788623</v>
      </c>
      <c r="Q105" s="7">
        <f t="shared" si="27"/>
        <v>-0.21590567902059554</v>
      </c>
      <c r="R105" s="7">
        <f t="shared" si="24"/>
        <v>0.97467111706730858</v>
      </c>
      <c r="S105" s="7">
        <f t="shared" si="28"/>
        <v>-4.6351104722571944E-2</v>
      </c>
      <c r="T105" s="7">
        <f t="shared" si="29"/>
        <v>1</v>
      </c>
      <c r="U105" s="7">
        <f t="shared" si="25"/>
        <v>1.6652315698016358</v>
      </c>
      <c r="V105" s="7">
        <f t="shared" si="30"/>
        <v>1.0561306151706902E-2</v>
      </c>
      <c r="W105" s="7">
        <f t="shared" si="31"/>
        <v>0</v>
      </c>
      <c r="X105" s="8" t="s">
        <v>3</v>
      </c>
      <c r="Y105" s="7">
        <v>-0.58965668732368393</v>
      </c>
      <c r="Z105" s="7">
        <v>1.3381542470788623</v>
      </c>
      <c r="AC105" s="7">
        <f t="shared" si="32"/>
        <v>0.36348313001155375</v>
      </c>
      <c r="AD105" s="7">
        <f t="shared" si="33"/>
        <v>0.32707732272277346</v>
      </c>
      <c r="AE105" s="6" t="s">
        <v>3</v>
      </c>
      <c r="AF105" s="6" t="s">
        <v>3</v>
      </c>
      <c r="AG105" s="6" t="s">
        <v>3</v>
      </c>
      <c r="AH105" s="6" t="s">
        <v>3</v>
      </c>
      <c r="AI105" s="6" t="s">
        <v>3</v>
      </c>
      <c r="AJ105" s="6" t="s">
        <v>3</v>
      </c>
      <c r="AK105" s="5">
        <f t="shared" si="34"/>
        <v>204.08528410963274</v>
      </c>
      <c r="AL105" s="7">
        <f t="shared" si="35"/>
        <v>0.97467111706730858</v>
      </c>
      <c r="AM105" s="7">
        <f t="shared" si="36"/>
        <v>1.6652315698016358</v>
      </c>
    </row>
    <row r="106" spans="10:39" x14ac:dyDescent="0.25">
      <c r="J106" s="3">
        <v>100</v>
      </c>
      <c r="K106" s="7">
        <v>-0.58951821455215137</v>
      </c>
      <c r="L106" s="7">
        <f t="shared" si="26"/>
        <v>1.3906680549502271</v>
      </c>
      <c r="M106" s="7">
        <f t="shared" ca="1" si="21"/>
        <v>1.5008438323165514</v>
      </c>
      <c r="N106" s="7">
        <f t="shared" si="22"/>
        <v>-0.58951821455215137</v>
      </c>
      <c r="O106" s="7">
        <v>1.2085337751551011</v>
      </c>
      <c r="P106" s="7">
        <f t="shared" si="23"/>
        <v>1.3372622004278074</v>
      </c>
      <c r="Q106" s="7">
        <f t="shared" si="27"/>
        <v>0.12872842527270634</v>
      </c>
      <c r="R106" s="7">
        <f t="shared" si="24"/>
        <v>0.9737642243764304</v>
      </c>
      <c r="S106" s="7">
        <f t="shared" si="28"/>
        <v>-1.8781564062293653E-2</v>
      </c>
      <c r="T106" s="7">
        <f t="shared" si="29"/>
        <v>1</v>
      </c>
      <c r="U106" s="7">
        <f t="shared" si="25"/>
        <v>1.6645031769759018</v>
      </c>
      <c r="V106" s="7">
        <f t="shared" si="30"/>
        <v>4.3317093172976065E-2</v>
      </c>
      <c r="W106" s="7">
        <f t="shared" si="31"/>
        <v>0</v>
      </c>
      <c r="X106" s="8" t="s">
        <v>3</v>
      </c>
      <c r="Y106" s="7">
        <v>-0.58951821455215137</v>
      </c>
      <c r="Z106" s="7">
        <v>1.3372622004278074</v>
      </c>
      <c r="AC106" s="7">
        <f t="shared" si="32"/>
        <v>0.36349797605137701</v>
      </c>
      <c r="AD106" s="7">
        <f t="shared" si="33"/>
        <v>0.32724097654809436</v>
      </c>
      <c r="AE106" s="6" t="s">
        <v>3</v>
      </c>
      <c r="AF106" s="6" t="s">
        <v>3</v>
      </c>
      <c r="AG106" s="6" t="s">
        <v>3</v>
      </c>
      <c r="AH106" s="6" t="s">
        <v>3</v>
      </c>
      <c r="AI106" s="6" t="s">
        <v>3</v>
      </c>
      <c r="AJ106" s="6" t="s">
        <v>3</v>
      </c>
      <c r="AK106" s="5">
        <f t="shared" si="34"/>
        <v>204.15488420136495</v>
      </c>
      <c r="AL106" s="7">
        <f t="shared" si="35"/>
        <v>0.9737642243764304</v>
      </c>
      <c r="AM106" s="7">
        <f t="shared" si="36"/>
        <v>1.6645031769759018</v>
      </c>
    </row>
    <row r="107" spans="10:39" x14ac:dyDescent="0.25">
      <c r="J107" s="3">
        <v>101</v>
      </c>
      <c r="K107" s="7">
        <v>-0.58625983093548895</v>
      </c>
      <c r="L107" s="7">
        <f t="shared" si="26"/>
        <v>1.3717193051566654</v>
      </c>
      <c r="M107" s="7">
        <f t="shared" ca="1" si="21"/>
        <v>1.2255703693400966</v>
      </c>
      <c r="N107" s="7">
        <f t="shared" si="22"/>
        <v>-0.58625983093548895</v>
      </c>
      <c r="O107" s="7">
        <v>1.5406957222667799</v>
      </c>
      <c r="P107" s="7">
        <f t="shared" si="23"/>
        <v>1.3162565451192267</v>
      </c>
      <c r="Q107" s="7">
        <f t="shared" si="27"/>
        <v>-0.22443917714755313</v>
      </c>
      <c r="R107" s="7">
        <f t="shared" si="24"/>
        <v>0.9523844438945317</v>
      </c>
      <c r="S107" s="7">
        <f t="shared" si="28"/>
        <v>-4.7064902269779857E-2</v>
      </c>
      <c r="T107" s="7">
        <f t="shared" si="29"/>
        <v>1</v>
      </c>
      <c r="U107" s="7">
        <f t="shared" si="25"/>
        <v>1.6473656549231872</v>
      </c>
      <c r="V107" s="7">
        <f t="shared" si="30"/>
        <v>1.0133643602358697E-2</v>
      </c>
      <c r="W107" s="7">
        <f t="shared" si="31"/>
        <v>0</v>
      </c>
      <c r="X107" s="8" t="s">
        <v>3</v>
      </c>
      <c r="Y107" s="7">
        <v>-0.58625983093548895</v>
      </c>
      <c r="Z107" s="7">
        <v>1.3162565451192267</v>
      </c>
      <c r="AC107" s="7">
        <f t="shared" si="32"/>
        <v>0.36387210122469504</v>
      </c>
      <c r="AD107" s="7">
        <f t="shared" si="33"/>
        <v>0.33110910980396047</v>
      </c>
      <c r="AE107" s="6" t="s">
        <v>3</v>
      </c>
      <c r="AF107" s="6" t="s">
        <v>3</v>
      </c>
      <c r="AG107" s="6" t="s">
        <v>3</v>
      </c>
      <c r="AH107" s="6" t="s">
        <v>3</v>
      </c>
      <c r="AI107" s="6" t="s">
        <v>3</v>
      </c>
      <c r="AJ107" s="6" t="s">
        <v>3</v>
      </c>
      <c r="AK107" s="5">
        <f t="shared" si="34"/>
        <v>205.79263432442878</v>
      </c>
      <c r="AL107" s="7">
        <f t="shared" si="35"/>
        <v>0.9523844438945317</v>
      </c>
      <c r="AM107" s="7">
        <f t="shared" si="36"/>
        <v>1.6473656549231872</v>
      </c>
    </row>
    <row r="108" spans="10:39" x14ac:dyDescent="0.25">
      <c r="J108" s="3">
        <v>102</v>
      </c>
      <c r="K108" s="7">
        <v>-0.58475033534161325</v>
      </c>
      <c r="L108" s="7">
        <f t="shared" si="26"/>
        <v>1.362910403464989</v>
      </c>
      <c r="M108" s="7">
        <f t="shared" ca="1" si="21"/>
        <v>1.8398808321741937</v>
      </c>
      <c r="N108" s="7">
        <f t="shared" si="22"/>
        <v>-0.58475033534161325</v>
      </c>
      <c r="O108" s="7">
        <v>1.4839384284741635</v>
      </c>
      <c r="P108" s="7">
        <f t="shared" si="23"/>
        <v>1.306518517899512</v>
      </c>
      <c r="Q108" s="7">
        <f t="shared" si="27"/>
        <v>-0.17741991057465145</v>
      </c>
      <c r="R108" s="7">
        <f t="shared" si="24"/>
        <v>0.94245739810805196</v>
      </c>
      <c r="S108" s="7">
        <f t="shared" si="28"/>
        <v>-4.3318482429288922E-2</v>
      </c>
      <c r="T108" s="7">
        <f t="shared" si="29"/>
        <v>1</v>
      </c>
      <c r="U108" s="7">
        <f t="shared" si="25"/>
        <v>1.6394290512348462</v>
      </c>
      <c r="V108" s="7">
        <f t="shared" si="30"/>
        <v>1.4771609162264858E-2</v>
      </c>
      <c r="W108" s="7">
        <f t="shared" si="31"/>
        <v>0</v>
      </c>
      <c r="X108" s="8" t="s">
        <v>3</v>
      </c>
      <c r="Y108" s="7">
        <v>-0.58475033534161325</v>
      </c>
      <c r="Z108" s="7">
        <v>1.306518517899512</v>
      </c>
      <c r="AC108" s="7">
        <f t="shared" si="32"/>
        <v>0.36406111979146005</v>
      </c>
      <c r="AD108" s="7">
        <f t="shared" si="33"/>
        <v>0.33291053333533416</v>
      </c>
      <c r="AE108" s="6" t="s">
        <v>3</v>
      </c>
      <c r="AF108" s="6" t="s">
        <v>3</v>
      </c>
      <c r="AG108" s="6" t="s">
        <v>3</v>
      </c>
      <c r="AH108" s="6" t="s">
        <v>3</v>
      </c>
      <c r="AI108" s="6" t="s">
        <v>3</v>
      </c>
      <c r="AJ108" s="6" t="s">
        <v>3</v>
      </c>
      <c r="AK108" s="5">
        <f t="shared" si="34"/>
        <v>206.55134689037476</v>
      </c>
      <c r="AL108" s="7">
        <f t="shared" si="35"/>
        <v>0.94245739810805196</v>
      </c>
      <c r="AM108" s="7">
        <f t="shared" si="36"/>
        <v>1.6394290512348462</v>
      </c>
    </row>
    <row r="109" spans="10:39" x14ac:dyDescent="0.25">
      <c r="J109" s="3">
        <v>103</v>
      </c>
      <c r="K109" s="7">
        <v>-0.57936463993869847</v>
      </c>
      <c r="L109" s="7">
        <f t="shared" si="26"/>
        <v>1.331344489006417</v>
      </c>
      <c r="M109" s="7">
        <f t="shared" ca="1" si="21"/>
        <v>1.3886084561708665</v>
      </c>
      <c r="N109" s="7">
        <f t="shared" si="22"/>
        <v>-0.57936463993869847</v>
      </c>
      <c r="O109" s="7">
        <v>1.3543050848122782</v>
      </c>
      <c r="P109" s="7">
        <f t="shared" si="23"/>
        <v>1.2717697692166259</v>
      </c>
      <c r="Q109" s="7">
        <f t="shared" si="27"/>
        <v>-8.2535315595652303E-2</v>
      </c>
      <c r="R109" s="7">
        <f t="shared" si="24"/>
        <v>0.90695774331570789</v>
      </c>
      <c r="S109" s="7">
        <f t="shared" si="28"/>
        <v>-3.5787787319725622E-2</v>
      </c>
      <c r="T109" s="7">
        <f t="shared" si="29"/>
        <v>1</v>
      </c>
      <c r="U109" s="7">
        <f t="shared" si="25"/>
        <v>1.6111380183387678</v>
      </c>
      <c r="V109" s="7">
        <f t="shared" si="30"/>
        <v>2.4399128685016515E-2</v>
      </c>
      <c r="W109" s="7">
        <f t="shared" si="31"/>
        <v>0</v>
      </c>
      <c r="X109" s="8" t="s">
        <v>3</v>
      </c>
      <c r="Y109" s="7">
        <v>-0.57936463993869847</v>
      </c>
      <c r="Z109" s="7">
        <v>1.2717697692166259</v>
      </c>
      <c r="AC109" s="7">
        <f t="shared" si="32"/>
        <v>0.36481202590091799</v>
      </c>
      <c r="AD109" s="7">
        <f t="shared" si="33"/>
        <v>0.33936824912214192</v>
      </c>
      <c r="AE109" s="6" t="s">
        <v>3</v>
      </c>
      <c r="AF109" s="6" t="s">
        <v>3</v>
      </c>
      <c r="AG109" s="6" t="s">
        <v>3</v>
      </c>
      <c r="AH109" s="6" t="s">
        <v>3</v>
      </c>
      <c r="AI109" s="6" t="s">
        <v>3</v>
      </c>
      <c r="AJ109" s="6" t="s">
        <v>3</v>
      </c>
      <c r="AK109" s="5">
        <f t="shared" si="34"/>
        <v>209.25834040206655</v>
      </c>
      <c r="AL109" s="7">
        <f t="shared" si="35"/>
        <v>0.90695774331570789</v>
      </c>
      <c r="AM109" s="7">
        <f t="shared" si="36"/>
        <v>1.6111380183387678</v>
      </c>
    </row>
    <row r="110" spans="10:39" x14ac:dyDescent="0.25">
      <c r="J110" s="3">
        <v>104</v>
      </c>
      <c r="K110" s="7">
        <v>-0.57862977652698566</v>
      </c>
      <c r="L110" s="7">
        <f t="shared" si="26"/>
        <v>1.3270227221469664</v>
      </c>
      <c r="M110" s="7">
        <f t="shared" ca="1" si="21"/>
        <v>1.0821810037040098</v>
      </c>
      <c r="N110" s="7">
        <f t="shared" si="22"/>
        <v>-0.57862977652698566</v>
      </c>
      <c r="O110" s="7">
        <v>1.0840146834322701</v>
      </c>
      <c r="P110" s="7">
        <f t="shared" si="23"/>
        <v>1.2670305519065579</v>
      </c>
      <c r="Q110" s="7">
        <f t="shared" si="27"/>
        <v>0.18301586847428775</v>
      </c>
      <c r="R110" s="7">
        <f t="shared" si="24"/>
        <v>0.90210721234623525</v>
      </c>
      <c r="S110" s="7">
        <f t="shared" si="28"/>
        <v>-1.4552597686882791E-2</v>
      </c>
      <c r="T110" s="7">
        <f t="shared" si="29"/>
        <v>1</v>
      </c>
      <c r="U110" s="7">
        <f t="shared" si="25"/>
        <v>1.6072819925263078</v>
      </c>
      <c r="V110" s="7">
        <f t="shared" si="30"/>
        <v>4.9710394363933576E-2</v>
      </c>
      <c r="W110" s="7">
        <f t="shared" si="31"/>
        <v>0</v>
      </c>
      <c r="X110" s="8" t="s">
        <v>3</v>
      </c>
      <c r="Y110" s="7">
        <v>-0.57862977652698566</v>
      </c>
      <c r="Z110" s="7">
        <v>1.2670305519065579</v>
      </c>
      <c r="AC110" s="7">
        <f t="shared" si="32"/>
        <v>0.36492333956032263</v>
      </c>
      <c r="AD110" s="7">
        <f t="shared" si="33"/>
        <v>0.34025144061974988</v>
      </c>
      <c r="AE110" s="6" t="s">
        <v>3</v>
      </c>
      <c r="AF110" s="6" t="s">
        <v>3</v>
      </c>
      <c r="AG110" s="6" t="s">
        <v>3</v>
      </c>
      <c r="AH110" s="6" t="s">
        <v>3</v>
      </c>
      <c r="AI110" s="6" t="s">
        <v>3</v>
      </c>
      <c r="AJ110" s="6" t="s">
        <v>3</v>
      </c>
      <c r="AK110" s="5">
        <f t="shared" si="34"/>
        <v>209.6277022650508</v>
      </c>
      <c r="AL110" s="7">
        <f t="shared" si="35"/>
        <v>0.90210721234623525</v>
      </c>
      <c r="AM110" s="7">
        <f t="shared" si="36"/>
        <v>1.6072819925263078</v>
      </c>
    </row>
    <row r="111" spans="10:39" x14ac:dyDescent="0.25">
      <c r="J111" s="3">
        <v>105</v>
      </c>
      <c r="K111" s="7">
        <v>-0.57641059399417194</v>
      </c>
      <c r="L111" s="7">
        <f t="shared" si="26"/>
        <v>1.3139531654902525</v>
      </c>
      <c r="M111" s="7">
        <f t="shared" ca="1" si="21"/>
        <v>1.4571162446580268</v>
      </c>
      <c r="N111" s="7">
        <f t="shared" si="22"/>
        <v>-0.57641059399417194</v>
      </c>
      <c r="O111" s="7">
        <v>1.2351965580414395</v>
      </c>
      <c r="P111" s="7">
        <f t="shared" si="23"/>
        <v>1.2527261624270081</v>
      </c>
      <c r="Q111" s="7">
        <f t="shared" si="27"/>
        <v>1.7529604385568609E-2</v>
      </c>
      <c r="R111" s="7">
        <f t="shared" si="24"/>
        <v>0.88745442602744529</v>
      </c>
      <c r="S111" s="7">
        <f t="shared" si="28"/>
        <v>-2.7819370561119536E-2</v>
      </c>
      <c r="T111" s="7">
        <f t="shared" si="29"/>
        <v>1</v>
      </c>
      <c r="U111" s="7">
        <f t="shared" si="25"/>
        <v>1.5956451536246632</v>
      </c>
      <c r="V111" s="7">
        <f t="shared" si="30"/>
        <v>3.4242616580406254E-2</v>
      </c>
      <c r="W111" s="7">
        <f t="shared" si="31"/>
        <v>0</v>
      </c>
      <c r="X111" s="8" t="s">
        <v>3</v>
      </c>
      <c r="Y111" s="7">
        <v>-0.57641059399417194</v>
      </c>
      <c r="Z111" s="7">
        <v>1.2527261624270081</v>
      </c>
      <c r="AC111" s="7">
        <f t="shared" si="32"/>
        <v>0.36527173639956279</v>
      </c>
      <c r="AD111" s="7">
        <f t="shared" si="33"/>
        <v>0.34291899119765512</v>
      </c>
      <c r="AE111" s="6" t="s">
        <v>3</v>
      </c>
      <c r="AF111" s="6" t="s">
        <v>3</v>
      </c>
      <c r="AG111" s="6" t="s">
        <v>3</v>
      </c>
      <c r="AH111" s="6" t="s">
        <v>3</v>
      </c>
      <c r="AI111" s="6" t="s">
        <v>3</v>
      </c>
      <c r="AJ111" s="6" t="s">
        <v>3</v>
      </c>
      <c r="AK111" s="5">
        <f t="shared" si="34"/>
        <v>210.74312233027305</v>
      </c>
      <c r="AL111" s="7">
        <f t="shared" si="35"/>
        <v>0.88745442602744529</v>
      </c>
      <c r="AM111" s="7">
        <f t="shared" si="36"/>
        <v>1.5956451536246632</v>
      </c>
    </row>
    <row r="112" spans="10:39" x14ac:dyDescent="0.25">
      <c r="J112" s="3">
        <v>106</v>
      </c>
      <c r="K112" s="7">
        <v>-0.57604312946951675</v>
      </c>
      <c r="L112" s="7">
        <f t="shared" si="26"/>
        <v>1.3117865314922119</v>
      </c>
      <c r="M112" s="7">
        <f t="shared" ca="1" si="21"/>
        <v>1.3785389403951427</v>
      </c>
      <c r="N112" s="7">
        <f t="shared" si="22"/>
        <v>-0.57604312946951675</v>
      </c>
      <c r="O112" s="7">
        <v>1.262982272728352</v>
      </c>
      <c r="P112" s="7">
        <f t="shared" si="23"/>
        <v>1.2503588699839951</v>
      </c>
      <c r="Q112" s="7">
        <f t="shared" si="27"/>
        <v>-1.2623402744356804E-2</v>
      </c>
      <c r="R112" s="7">
        <f t="shared" si="24"/>
        <v>0.88502770685828747</v>
      </c>
      <c r="S112" s="7">
        <f t="shared" si="28"/>
        <v>-3.0236365269605159E-2</v>
      </c>
      <c r="T112" s="7">
        <f t="shared" si="29"/>
        <v>1</v>
      </c>
      <c r="U112" s="7">
        <f t="shared" si="25"/>
        <v>1.593719487677008</v>
      </c>
      <c r="V112" s="7">
        <f t="shared" si="30"/>
        <v>3.1420035420122325E-2</v>
      </c>
      <c r="W112" s="7">
        <f t="shared" si="31"/>
        <v>0</v>
      </c>
      <c r="X112" s="8" t="s">
        <v>3</v>
      </c>
      <c r="Y112" s="7">
        <v>-0.57604312946951675</v>
      </c>
      <c r="Z112" s="7">
        <v>1.2503588699839951</v>
      </c>
      <c r="AC112" s="7">
        <f t="shared" si="32"/>
        <v>0.36533116312570768</v>
      </c>
      <c r="AD112" s="7">
        <f t="shared" si="33"/>
        <v>0.34336061769301285</v>
      </c>
      <c r="AE112" s="6" t="s">
        <v>3</v>
      </c>
      <c r="AF112" s="6" t="s">
        <v>3</v>
      </c>
      <c r="AG112" s="6" t="s">
        <v>3</v>
      </c>
      <c r="AH112" s="6" t="s">
        <v>3</v>
      </c>
      <c r="AI112" s="6" t="s">
        <v>3</v>
      </c>
      <c r="AJ112" s="6" t="s">
        <v>3</v>
      </c>
      <c r="AK112" s="5">
        <f t="shared" si="34"/>
        <v>210.92781975736486</v>
      </c>
      <c r="AL112" s="7">
        <f t="shared" si="35"/>
        <v>0.88502770685828747</v>
      </c>
      <c r="AM112" s="7">
        <f t="shared" si="36"/>
        <v>1.593719487677008</v>
      </c>
    </row>
    <row r="113" spans="10:39" x14ac:dyDescent="0.25">
      <c r="J113" s="3">
        <v>107</v>
      </c>
      <c r="K113" s="7">
        <v>-0.5753642121396032</v>
      </c>
      <c r="L113" s="7">
        <f t="shared" si="26"/>
        <v>1.3077817696857783</v>
      </c>
      <c r="M113" s="7">
        <f t="shared" ca="1" si="21"/>
        <v>1.5460400074230987</v>
      </c>
      <c r="N113" s="7">
        <f t="shared" si="22"/>
        <v>-0.5753642121396032</v>
      </c>
      <c r="O113" s="7">
        <v>1.5234816810359941</v>
      </c>
      <c r="P113" s="7">
        <f t="shared" si="23"/>
        <v>1.245986276730507</v>
      </c>
      <c r="Q113" s="7">
        <f t="shared" si="27"/>
        <v>-0.27749540430548714</v>
      </c>
      <c r="R113" s="7">
        <f t="shared" si="24"/>
        <v>0.88054404812336706</v>
      </c>
      <c r="S113" s="7">
        <f t="shared" si="28"/>
        <v>-5.1435010633010168E-2</v>
      </c>
      <c r="T113" s="7">
        <f t="shared" si="29"/>
        <v>1</v>
      </c>
      <c r="U113" s="7">
        <f t="shared" si="25"/>
        <v>1.5901626651178913</v>
      </c>
      <c r="V113" s="7">
        <f t="shared" si="30"/>
        <v>6.33469348778023E-3</v>
      </c>
      <c r="W113" s="7">
        <f t="shared" si="31"/>
        <v>0</v>
      </c>
      <c r="X113" s="8" t="s">
        <v>3</v>
      </c>
      <c r="Y113" s="7">
        <v>-0.5753642121396032</v>
      </c>
      <c r="Z113" s="7">
        <v>1.245986276730507</v>
      </c>
      <c r="AC113" s="7">
        <f t="shared" si="32"/>
        <v>0.36544222860713993</v>
      </c>
      <c r="AD113" s="7">
        <f t="shared" si="33"/>
        <v>0.34417638838738429</v>
      </c>
      <c r="AE113" s="6" t="s">
        <v>3</v>
      </c>
      <c r="AF113" s="6" t="s">
        <v>3</v>
      </c>
      <c r="AG113" s="6" t="s">
        <v>3</v>
      </c>
      <c r="AH113" s="6" t="s">
        <v>3</v>
      </c>
      <c r="AI113" s="6" t="s">
        <v>3</v>
      </c>
      <c r="AJ113" s="6" t="s">
        <v>3</v>
      </c>
      <c r="AK113" s="5">
        <f t="shared" si="34"/>
        <v>211.26906163414392</v>
      </c>
      <c r="AL113" s="7">
        <f t="shared" si="35"/>
        <v>0.88054404812336706</v>
      </c>
      <c r="AM113" s="7">
        <f t="shared" si="36"/>
        <v>1.5901626651178913</v>
      </c>
    </row>
    <row r="114" spans="10:39" x14ac:dyDescent="0.25">
      <c r="J114" s="3">
        <v>108</v>
      </c>
      <c r="K114" s="7">
        <v>-0.57185740668225749</v>
      </c>
      <c r="L114" s="7">
        <f t="shared" si="26"/>
        <v>1.2870633964462799</v>
      </c>
      <c r="M114" s="7">
        <f t="shared" ca="1" si="21"/>
        <v>1.2893415489431082</v>
      </c>
      <c r="N114" s="7">
        <f t="shared" si="22"/>
        <v>-0.57185740668225749</v>
      </c>
      <c r="O114" s="7">
        <v>0.88393816168404415</v>
      </c>
      <c r="P114" s="7">
        <f t="shared" si="23"/>
        <v>1.2234292608365249</v>
      </c>
      <c r="Q114" s="7">
        <f t="shared" si="27"/>
        <v>0.33949109915248077</v>
      </c>
      <c r="R114" s="7">
        <f t="shared" si="24"/>
        <v>0.85738791047545559</v>
      </c>
      <c r="S114" s="7">
        <f t="shared" si="28"/>
        <v>-2.1240200966870849E-3</v>
      </c>
      <c r="T114" s="7">
        <f t="shared" si="29"/>
        <v>1</v>
      </c>
      <c r="U114" s="7">
        <f t="shared" si="25"/>
        <v>1.5718129159367147</v>
      </c>
      <c r="V114" s="7">
        <f t="shared" si="30"/>
        <v>6.5348101654003704E-2</v>
      </c>
      <c r="W114" s="7">
        <f t="shared" si="31"/>
        <v>0</v>
      </c>
      <c r="X114" s="8" t="s">
        <v>3</v>
      </c>
      <c r="Y114" s="7">
        <v>-0.57185740668225749</v>
      </c>
      <c r="Z114" s="7">
        <v>1.2234292608365249</v>
      </c>
      <c r="AC114" s="7">
        <f t="shared" si="32"/>
        <v>0.36604135036106933</v>
      </c>
      <c r="AD114" s="7">
        <f t="shared" si="33"/>
        <v>0.34838365510018976</v>
      </c>
      <c r="AE114" s="6" t="s">
        <v>3</v>
      </c>
      <c r="AF114" s="6" t="s">
        <v>3</v>
      </c>
      <c r="AG114" s="6" t="s">
        <v>3</v>
      </c>
      <c r="AH114" s="6" t="s">
        <v>3</v>
      </c>
      <c r="AI114" s="6" t="s">
        <v>3</v>
      </c>
      <c r="AJ114" s="6" t="s">
        <v>3</v>
      </c>
      <c r="AK114" s="5">
        <f t="shared" si="34"/>
        <v>213.03167517048738</v>
      </c>
      <c r="AL114" s="7">
        <f t="shared" si="35"/>
        <v>0.85738791047545559</v>
      </c>
      <c r="AM114" s="7">
        <f t="shared" si="36"/>
        <v>1.5718129159367147</v>
      </c>
    </row>
    <row r="115" spans="10:39" x14ac:dyDescent="0.25">
      <c r="J115" s="3">
        <v>109</v>
      </c>
      <c r="K115" s="7">
        <v>-0.56706274902198239</v>
      </c>
      <c r="L115" s="7">
        <f t="shared" si="26"/>
        <v>1.2586664090571604</v>
      </c>
      <c r="M115" s="7">
        <f t="shared" ca="1" si="21"/>
        <v>1.3719788349926982</v>
      </c>
      <c r="N115" s="7">
        <f t="shared" si="22"/>
        <v>-0.56706274902198239</v>
      </c>
      <c r="O115" s="7">
        <v>0.98661025361167798</v>
      </c>
      <c r="P115" s="7">
        <f t="shared" si="23"/>
        <v>1.1926917749219523</v>
      </c>
      <c r="Q115" s="7">
        <f t="shared" si="27"/>
        <v>0.20608152131027435</v>
      </c>
      <c r="R115" s="7">
        <f t="shared" si="24"/>
        <v>0.82576664005556966</v>
      </c>
      <c r="S115" s="7">
        <f t="shared" si="28"/>
        <v>-1.2867489084488665E-2</v>
      </c>
      <c r="T115" s="7">
        <f t="shared" si="29"/>
        <v>1</v>
      </c>
      <c r="U115" s="7">
        <f t="shared" si="25"/>
        <v>1.5467947379490148</v>
      </c>
      <c r="V115" s="7">
        <f t="shared" si="30"/>
        <v>5.3217526012046996E-2</v>
      </c>
      <c r="W115" s="7">
        <f t="shared" si="31"/>
        <v>0</v>
      </c>
      <c r="X115" s="8" t="s">
        <v>3</v>
      </c>
      <c r="Y115" s="7">
        <v>-0.56706274902198239</v>
      </c>
      <c r="Z115" s="7">
        <v>1.1926917749219523</v>
      </c>
      <c r="AC115" s="7">
        <f t="shared" si="32"/>
        <v>0.36692513486638267</v>
      </c>
      <c r="AD115" s="7">
        <f t="shared" si="33"/>
        <v>0.35410296302706246</v>
      </c>
      <c r="AE115" s="6" t="s">
        <v>3</v>
      </c>
      <c r="AF115" s="6" t="s">
        <v>3</v>
      </c>
      <c r="AG115" s="6" t="s">
        <v>3</v>
      </c>
      <c r="AH115" s="6" t="s">
        <v>3</v>
      </c>
      <c r="AI115" s="6" t="s">
        <v>3</v>
      </c>
      <c r="AJ115" s="6" t="s">
        <v>3</v>
      </c>
      <c r="AK115" s="5">
        <f t="shared" si="34"/>
        <v>215.44159741936235</v>
      </c>
      <c r="AL115" s="7">
        <f t="shared" si="35"/>
        <v>0.82576664005556966</v>
      </c>
      <c r="AM115" s="7">
        <f t="shared" si="36"/>
        <v>1.5467947379490148</v>
      </c>
    </row>
    <row r="116" spans="10:39" x14ac:dyDescent="0.25">
      <c r="J116" s="3">
        <v>110</v>
      </c>
      <c r="K116" s="7">
        <v>-0.56478942935889775</v>
      </c>
      <c r="L116" s="7">
        <f t="shared" si="26"/>
        <v>1.2451827876280928</v>
      </c>
      <c r="M116" s="7">
        <f t="shared" ca="1" si="21"/>
        <v>1.469733691926528</v>
      </c>
      <c r="N116" s="7">
        <f t="shared" si="22"/>
        <v>-0.56478942935889775</v>
      </c>
      <c r="O116" s="7">
        <v>1.0214189985160245</v>
      </c>
      <c r="P116" s="7">
        <f t="shared" si="23"/>
        <v>1.1781715834311117</v>
      </c>
      <c r="Q116" s="7">
        <f t="shared" si="27"/>
        <v>0.15675258491508726</v>
      </c>
      <c r="R116" s="7">
        <f t="shared" si="24"/>
        <v>0.81080337634007504</v>
      </c>
      <c r="S116" s="7">
        <f t="shared" si="28"/>
        <v>-1.6849249774075953E-2</v>
      </c>
      <c r="T116" s="7">
        <f t="shared" si="29"/>
        <v>1</v>
      </c>
      <c r="U116" s="7">
        <f t="shared" si="25"/>
        <v>1.5349657278195379</v>
      </c>
      <c r="V116" s="7">
        <f t="shared" si="30"/>
        <v>4.8786939283833777E-2</v>
      </c>
      <c r="W116" s="7">
        <f t="shared" si="31"/>
        <v>0</v>
      </c>
      <c r="X116" s="8" t="s">
        <v>3</v>
      </c>
      <c r="Y116" s="7">
        <v>-0.56478942935889775</v>
      </c>
      <c r="Z116" s="7">
        <v>1.1781715834311117</v>
      </c>
      <c r="AC116" s="7">
        <f t="shared" si="32"/>
        <v>0.36736820709103668</v>
      </c>
      <c r="AD116" s="7">
        <f t="shared" si="33"/>
        <v>0.35679414438842616</v>
      </c>
      <c r="AE116" s="6" t="s">
        <v>3</v>
      </c>
      <c r="AF116" s="6" t="s">
        <v>3</v>
      </c>
      <c r="AG116" s="6" t="s">
        <v>3</v>
      </c>
      <c r="AH116" s="6" t="s">
        <v>3</v>
      </c>
      <c r="AI116" s="6" t="s">
        <v>3</v>
      </c>
      <c r="AJ116" s="6" t="s">
        <v>3</v>
      </c>
      <c r="AK116" s="5">
        <f t="shared" si="34"/>
        <v>216.58422824371996</v>
      </c>
      <c r="AL116" s="7">
        <f t="shared" si="35"/>
        <v>0.81080337634007504</v>
      </c>
      <c r="AM116" s="7">
        <f t="shared" si="36"/>
        <v>1.5349657278195379</v>
      </c>
    </row>
    <row r="117" spans="10:39" x14ac:dyDescent="0.25">
      <c r="J117" s="3">
        <v>111</v>
      </c>
      <c r="K117" s="7">
        <v>-0.56210437078924547</v>
      </c>
      <c r="L117" s="7">
        <f t="shared" si="26"/>
        <v>1.2292472644867469</v>
      </c>
      <c r="M117" s="7">
        <f t="shared" ca="1" si="21"/>
        <v>1.3475931211929792</v>
      </c>
      <c r="N117" s="7">
        <f t="shared" si="22"/>
        <v>-0.56210437078924547</v>
      </c>
      <c r="O117" s="7">
        <v>1.1697204512836139</v>
      </c>
      <c r="P117" s="7">
        <f t="shared" si="23"/>
        <v>1.1610745596409999</v>
      </c>
      <c r="Q117" s="7">
        <f t="shared" si="27"/>
        <v>-8.6458916426139787E-3</v>
      </c>
      <c r="R117" s="7">
        <f t="shared" si="24"/>
        <v>0.79316467715374239</v>
      </c>
      <c r="S117" s="7">
        <f t="shared" si="28"/>
        <v>-3.0124461930389722E-2</v>
      </c>
      <c r="T117" s="7">
        <f t="shared" si="29"/>
        <v>1</v>
      </c>
      <c r="U117" s="7">
        <f t="shared" si="25"/>
        <v>1.5210249822339743</v>
      </c>
      <c r="V117" s="7">
        <f t="shared" si="30"/>
        <v>3.3373930440284236E-2</v>
      </c>
      <c r="W117" s="7">
        <f t="shared" si="31"/>
        <v>0</v>
      </c>
      <c r="X117" s="8" t="s">
        <v>3</v>
      </c>
      <c r="Y117" s="7">
        <v>-0.56210437078924547</v>
      </c>
      <c r="Z117" s="7">
        <v>1.1610745596409999</v>
      </c>
      <c r="AC117" s="7">
        <f t="shared" si="32"/>
        <v>0.36790988248725753</v>
      </c>
      <c r="AD117" s="7">
        <f t="shared" si="33"/>
        <v>0.35995042259297438</v>
      </c>
      <c r="AE117" s="6" t="s">
        <v>3</v>
      </c>
      <c r="AF117" s="6" t="s">
        <v>3</v>
      </c>
      <c r="AG117" s="6" t="s">
        <v>3</v>
      </c>
      <c r="AH117" s="6" t="s">
        <v>3</v>
      </c>
      <c r="AI117" s="6" t="s">
        <v>3</v>
      </c>
      <c r="AJ117" s="6" t="s">
        <v>3</v>
      </c>
      <c r="AK117" s="5">
        <f t="shared" si="34"/>
        <v>217.93380997510187</v>
      </c>
      <c r="AL117" s="7">
        <f t="shared" si="35"/>
        <v>0.79316467715374239</v>
      </c>
      <c r="AM117" s="7">
        <f t="shared" si="36"/>
        <v>1.5210249822339743</v>
      </c>
    </row>
    <row r="118" spans="10:39" x14ac:dyDescent="0.25">
      <c r="J118" s="3">
        <v>112</v>
      </c>
      <c r="K118" s="7">
        <v>-0.56074770305488841</v>
      </c>
      <c r="L118" s="7">
        <f t="shared" si="26"/>
        <v>1.2211932544409068</v>
      </c>
      <c r="M118" s="7">
        <f t="shared" ca="1" si="21"/>
        <v>1.0803834583797447</v>
      </c>
      <c r="N118" s="7">
        <f t="shared" si="22"/>
        <v>-0.56074770305488841</v>
      </c>
      <c r="O118" s="7">
        <v>1.1769138310645277</v>
      </c>
      <c r="P118" s="7">
        <f t="shared" si="23"/>
        <v>1.1524600930893756</v>
      </c>
      <c r="Q118" s="7">
        <f t="shared" si="27"/>
        <v>-2.4453737975152157E-2</v>
      </c>
      <c r="R118" s="7">
        <f t="shared" si="24"/>
        <v>0.78426937520796169</v>
      </c>
      <c r="S118" s="7">
        <f t="shared" si="28"/>
        <v>-3.1411556468525281E-2</v>
      </c>
      <c r="T118" s="7">
        <f t="shared" si="29"/>
        <v>1</v>
      </c>
      <c r="U118" s="7">
        <f t="shared" si="25"/>
        <v>1.513994715614521</v>
      </c>
      <c r="V118" s="7">
        <f t="shared" si="30"/>
        <v>3.2022684032249366E-2</v>
      </c>
      <c r="W118" s="7">
        <f t="shared" si="31"/>
        <v>0</v>
      </c>
      <c r="X118" s="8" t="s">
        <v>3</v>
      </c>
      <c r="Y118" s="7">
        <v>-0.56074770305488841</v>
      </c>
      <c r="Z118" s="7">
        <v>1.1524600930893756</v>
      </c>
      <c r="AC118" s="7">
        <f t="shared" si="32"/>
        <v>0.36819071788141389</v>
      </c>
      <c r="AD118" s="7">
        <f t="shared" si="33"/>
        <v>0.36153462252514545</v>
      </c>
      <c r="AE118" s="6" t="s">
        <v>3</v>
      </c>
      <c r="AF118" s="6" t="s">
        <v>3</v>
      </c>
      <c r="AG118" s="6" t="s">
        <v>3</v>
      </c>
      <c r="AH118" s="6" t="s">
        <v>3</v>
      </c>
      <c r="AI118" s="6" t="s">
        <v>3</v>
      </c>
      <c r="AJ118" s="6" t="s">
        <v>3</v>
      </c>
      <c r="AK118" s="5">
        <f t="shared" si="34"/>
        <v>218.61570720093428</v>
      </c>
      <c r="AL118" s="7">
        <f t="shared" si="35"/>
        <v>0.78426937520796169</v>
      </c>
      <c r="AM118" s="7">
        <f t="shared" si="36"/>
        <v>1.513994715614521</v>
      </c>
    </row>
    <row r="119" spans="10:39" x14ac:dyDescent="0.25">
      <c r="J119" s="3">
        <v>113</v>
      </c>
      <c r="K119" s="7">
        <v>-0.55355894722698973</v>
      </c>
      <c r="L119" s="7">
        <f t="shared" si="26"/>
        <v>1.1785230315131621</v>
      </c>
      <c r="M119" s="7">
        <f t="shared" ca="1" si="21"/>
        <v>1.1066589793108006</v>
      </c>
      <c r="N119" s="7">
        <f t="shared" si="22"/>
        <v>-0.55355894722698973</v>
      </c>
      <c r="O119" s="7">
        <v>1.0012482050021632</v>
      </c>
      <c r="P119" s="7">
        <f t="shared" si="23"/>
        <v>1.1071255973785132</v>
      </c>
      <c r="Q119" s="7">
        <f t="shared" si="27"/>
        <v>0.10587739237635008</v>
      </c>
      <c r="R119" s="7">
        <f t="shared" si="24"/>
        <v>0.73737489017668167</v>
      </c>
      <c r="S119" s="7">
        <f t="shared" si="28"/>
        <v>-2.110986518603852E-2</v>
      </c>
      <c r="T119" s="7">
        <f t="shared" si="29"/>
        <v>1</v>
      </c>
      <c r="U119" s="7">
        <f t="shared" si="25"/>
        <v>1.4769103742696958</v>
      </c>
      <c r="V119" s="7">
        <f t="shared" si="30"/>
        <v>4.5187906080415605E-2</v>
      </c>
      <c r="W119" s="7">
        <f t="shared" si="31"/>
        <v>0</v>
      </c>
      <c r="X119" s="8" t="s">
        <v>3</v>
      </c>
      <c r="Y119" s="7">
        <v>-0.55355894722698973</v>
      </c>
      <c r="Z119" s="7">
        <v>1.1071255973785132</v>
      </c>
      <c r="AC119" s="7">
        <f t="shared" si="32"/>
        <v>0.36975070720183156</v>
      </c>
      <c r="AD119" s="7">
        <f t="shared" si="33"/>
        <v>0.36978477689118261</v>
      </c>
      <c r="AE119" s="6" t="s">
        <v>3</v>
      </c>
      <c r="AF119" s="6" t="s">
        <v>3</v>
      </c>
      <c r="AG119" s="6" t="s">
        <v>3</v>
      </c>
      <c r="AH119" s="6" t="s">
        <v>3</v>
      </c>
      <c r="AI119" s="6" t="s">
        <v>3</v>
      </c>
      <c r="AJ119" s="6" t="s">
        <v>3</v>
      </c>
      <c r="AK119" s="5">
        <f t="shared" si="34"/>
        <v>222.22896675748598</v>
      </c>
      <c r="AL119" s="7">
        <f t="shared" si="35"/>
        <v>0.73737489017668167</v>
      </c>
      <c r="AM119" s="7">
        <f t="shared" si="36"/>
        <v>1.4769103742696958</v>
      </c>
    </row>
    <row r="120" spans="10:39" x14ac:dyDescent="0.25">
      <c r="J120" s="3">
        <v>114</v>
      </c>
      <c r="K120" s="7">
        <v>-0.54948906024387267</v>
      </c>
      <c r="L120" s="7">
        <f t="shared" si="26"/>
        <v>1.1543971325366367</v>
      </c>
      <c r="M120" s="7">
        <f t="shared" ca="1" si="21"/>
        <v>0.93545518630829583</v>
      </c>
      <c r="N120" s="7">
        <f t="shared" si="22"/>
        <v>-0.54948906024387267</v>
      </c>
      <c r="O120" s="7">
        <v>1.2931301925010359</v>
      </c>
      <c r="P120" s="7">
        <f t="shared" si="23"/>
        <v>1.0817261451131386</v>
      </c>
      <c r="Q120" s="7">
        <f t="shared" si="27"/>
        <v>-0.21140404738789731</v>
      </c>
      <c r="R120" s="7">
        <f t="shared" si="24"/>
        <v>0.71104536994411704</v>
      </c>
      <c r="S120" s="7">
        <f t="shared" si="28"/>
        <v>-4.6566785804553507E-2</v>
      </c>
      <c r="T120" s="7">
        <f t="shared" si="29"/>
        <v>1</v>
      </c>
      <c r="U120" s="7">
        <f t="shared" si="25"/>
        <v>1.4560535584925811</v>
      </c>
      <c r="V120" s="7">
        <f t="shared" si="30"/>
        <v>1.5477719769196796E-2</v>
      </c>
      <c r="W120" s="7">
        <f t="shared" si="31"/>
        <v>0</v>
      </c>
      <c r="X120" s="8" t="s">
        <v>3</v>
      </c>
      <c r="Y120" s="7">
        <v>-0.54948906024387267</v>
      </c>
      <c r="Z120" s="7">
        <v>1.0817261451131386</v>
      </c>
      <c r="AC120" s="7">
        <f t="shared" si="32"/>
        <v>0.37068077516902154</v>
      </c>
      <c r="AD120" s="7">
        <f t="shared" si="33"/>
        <v>0.37432741337944253</v>
      </c>
      <c r="AE120" s="6" t="s">
        <v>3</v>
      </c>
      <c r="AF120" s="6" t="s">
        <v>3</v>
      </c>
      <c r="AG120" s="6" t="s">
        <v>3</v>
      </c>
      <c r="AH120" s="6" t="s">
        <v>3</v>
      </c>
      <c r="AI120" s="6" t="s">
        <v>3</v>
      </c>
      <c r="AJ120" s="6" t="s">
        <v>3</v>
      </c>
      <c r="AK120" s="5">
        <f t="shared" si="34"/>
        <v>224.27460001974848</v>
      </c>
      <c r="AL120" s="7">
        <f t="shared" si="35"/>
        <v>0.71104536994411704</v>
      </c>
      <c r="AM120" s="7">
        <f t="shared" si="36"/>
        <v>1.4560535584925811</v>
      </c>
    </row>
    <row r="121" spans="10:39" x14ac:dyDescent="0.25">
      <c r="J121" s="3">
        <v>115</v>
      </c>
      <c r="K121" s="7">
        <v>-0.54926894217270794</v>
      </c>
      <c r="L121" s="7">
        <f t="shared" si="26"/>
        <v>1.1530934361096619</v>
      </c>
      <c r="M121" s="7">
        <f t="shared" ca="1" si="21"/>
        <v>1.2923738788497889</v>
      </c>
      <c r="N121" s="7">
        <f t="shared" si="22"/>
        <v>-0.54926894217270794</v>
      </c>
      <c r="O121" s="7">
        <v>1.3700859395531553</v>
      </c>
      <c r="P121" s="7">
        <f t="shared" si="23"/>
        <v>1.0803585210497983</v>
      </c>
      <c r="Q121" s="7">
        <f t="shared" si="27"/>
        <v>-0.28972741850335693</v>
      </c>
      <c r="R121" s="7">
        <f t="shared" si="24"/>
        <v>0.70962660174743775</v>
      </c>
      <c r="S121" s="7">
        <f t="shared" si="28"/>
        <v>-5.2836747024457405E-2</v>
      </c>
      <c r="T121" s="7">
        <f t="shared" si="29"/>
        <v>1</v>
      </c>
      <c r="U121" s="7">
        <f t="shared" si="25"/>
        <v>1.4549286136118573</v>
      </c>
      <c r="V121" s="7">
        <f t="shared" si="30"/>
        <v>8.0600540355766949E-3</v>
      </c>
      <c r="W121" s="7">
        <f t="shared" si="31"/>
        <v>0</v>
      </c>
      <c r="X121" s="8" t="s">
        <v>3</v>
      </c>
      <c r="Y121" s="7">
        <v>-0.54926894217270794</v>
      </c>
      <c r="Z121" s="7">
        <v>1.0803585210497983</v>
      </c>
      <c r="AC121" s="7">
        <f t="shared" si="32"/>
        <v>0.3707319193023606</v>
      </c>
      <c r="AD121" s="7">
        <f t="shared" si="33"/>
        <v>0.37457009256205898</v>
      </c>
      <c r="AE121" s="6" t="s">
        <v>3</v>
      </c>
      <c r="AF121" s="6" t="s">
        <v>3</v>
      </c>
      <c r="AG121" s="6" t="s">
        <v>3</v>
      </c>
      <c r="AH121" s="6" t="s">
        <v>3</v>
      </c>
      <c r="AI121" s="6" t="s">
        <v>3</v>
      </c>
      <c r="AJ121" s="6" t="s">
        <v>3</v>
      </c>
      <c r="AK121" s="5">
        <f t="shared" si="34"/>
        <v>224.38523720694005</v>
      </c>
      <c r="AL121" s="7">
        <f t="shared" si="35"/>
        <v>0.70962660174743775</v>
      </c>
      <c r="AM121" s="7">
        <f t="shared" si="36"/>
        <v>1.4549286136118573</v>
      </c>
    </row>
    <row r="122" spans="10:39" x14ac:dyDescent="0.25">
      <c r="J122" s="3">
        <v>116</v>
      </c>
      <c r="K122" s="7">
        <v>-0.54587439973557506</v>
      </c>
      <c r="L122" s="7">
        <f t="shared" si="26"/>
        <v>1.1330075093441667</v>
      </c>
      <c r="M122" s="7">
        <f t="shared" ca="1" si="21"/>
        <v>0.86630541512027492</v>
      </c>
      <c r="N122" s="7">
        <f t="shared" si="22"/>
        <v>-0.54587439973557506</v>
      </c>
      <c r="O122" s="7">
        <v>1.3683790632695263</v>
      </c>
      <c r="P122" s="7">
        <f t="shared" si="23"/>
        <v>1.0593518857452002</v>
      </c>
      <c r="Q122" s="7">
        <f t="shared" si="27"/>
        <v>-0.30902717752432607</v>
      </c>
      <c r="R122" s="7">
        <f t="shared" si="24"/>
        <v>0.68782137169932023</v>
      </c>
      <c r="S122" s="7">
        <f t="shared" si="28"/>
        <v>-5.4444615325616487E-2</v>
      </c>
      <c r="T122" s="7">
        <f t="shared" si="29"/>
        <v>1</v>
      </c>
      <c r="U122" s="7">
        <f t="shared" si="25"/>
        <v>1.4376223811739945</v>
      </c>
      <c r="V122" s="7">
        <f t="shared" si="30"/>
        <v>6.5781152009244835E-3</v>
      </c>
      <c r="W122" s="7">
        <f t="shared" si="31"/>
        <v>0</v>
      </c>
      <c r="X122" s="8" t="s">
        <v>3</v>
      </c>
      <c r="Y122" s="7">
        <v>-0.54587439973557506</v>
      </c>
      <c r="Z122" s="7">
        <v>1.0593518857452002</v>
      </c>
      <c r="AC122" s="7">
        <f t="shared" si="32"/>
        <v>0.37153051404588</v>
      </c>
      <c r="AD122" s="7">
        <f t="shared" si="33"/>
        <v>0.37827049542879432</v>
      </c>
      <c r="AE122" s="6" t="s">
        <v>3</v>
      </c>
      <c r="AF122" s="6" t="s">
        <v>3</v>
      </c>
      <c r="AG122" s="6" t="s">
        <v>3</v>
      </c>
      <c r="AH122" s="6" t="s">
        <v>3</v>
      </c>
      <c r="AI122" s="6" t="s">
        <v>3</v>
      </c>
      <c r="AJ122" s="6" t="s">
        <v>3</v>
      </c>
      <c r="AK122" s="5">
        <f t="shared" si="34"/>
        <v>226.09142436849174</v>
      </c>
      <c r="AL122" s="7">
        <f t="shared" si="35"/>
        <v>0.68782137169932023</v>
      </c>
      <c r="AM122" s="7">
        <f t="shared" si="36"/>
        <v>1.4376223811739945</v>
      </c>
    </row>
    <row r="123" spans="10:39" x14ac:dyDescent="0.25">
      <c r="J123" s="3">
        <v>117</v>
      </c>
      <c r="K123" s="7">
        <v>-0.54404033477587643</v>
      </c>
      <c r="L123" s="7">
        <f t="shared" si="26"/>
        <v>1.1221722003627543</v>
      </c>
      <c r="M123" s="7">
        <f t="shared" ca="1" si="21"/>
        <v>0.93928738967970549</v>
      </c>
      <c r="N123" s="7">
        <f t="shared" si="22"/>
        <v>-0.54404033477587643</v>
      </c>
      <c r="O123" s="7">
        <v>1.0823678474363849</v>
      </c>
      <c r="P123" s="7">
        <f t="shared" si="23"/>
        <v>1.048070419992253</v>
      </c>
      <c r="Q123" s="7">
        <f t="shared" si="27"/>
        <v>-3.4297427444131889E-2</v>
      </c>
      <c r="R123" s="7">
        <f t="shared" si="24"/>
        <v>0.67610128642863154</v>
      </c>
      <c r="S123" s="7">
        <f t="shared" si="28"/>
        <v>-3.2501324880620269E-2</v>
      </c>
      <c r="T123" s="7">
        <f t="shared" si="29"/>
        <v>1</v>
      </c>
      <c r="U123" s="7">
        <f t="shared" si="25"/>
        <v>1.4283057758221374</v>
      </c>
      <c r="V123" s="7">
        <f t="shared" si="30"/>
        <v>3.2864103196646482E-2</v>
      </c>
      <c r="W123" s="7">
        <f t="shared" si="31"/>
        <v>0</v>
      </c>
      <c r="X123" s="8" t="s">
        <v>3</v>
      </c>
      <c r="Y123" s="7">
        <v>-0.54404033477587643</v>
      </c>
      <c r="Z123" s="7">
        <v>1.048070419992253</v>
      </c>
      <c r="AC123" s="7">
        <f t="shared" si="32"/>
        <v>0.37196913356362149</v>
      </c>
      <c r="AD123" s="7">
        <f t="shared" si="33"/>
        <v>0.38023535582988433</v>
      </c>
      <c r="AE123" s="6" t="s">
        <v>3</v>
      </c>
      <c r="AF123" s="6" t="s">
        <v>3</v>
      </c>
      <c r="AG123" s="6" t="s">
        <v>3</v>
      </c>
      <c r="AH123" s="6" t="s">
        <v>3</v>
      </c>
      <c r="AI123" s="6" t="s">
        <v>3</v>
      </c>
      <c r="AJ123" s="6" t="s">
        <v>3</v>
      </c>
      <c r="AK123" s="5">
        <f t="shared" si="34"/>
        <v>227.01327411573857</v>
      </c>
      <c r="AL123" s="7">
        <f t="shared" si="35"/>
        <v>0.67610128642863154</v>
      </c>
      <c r="AM123" s="7">
        <f t="shared" si="36"/>
        <v>1.4283057758221374</v>
      </c>
    </row>
    <row r="124" spans="10:39" x14ac:dyDescent="0.25">
      <c r="J124" s="3">
        <v>118</v>
      </c>
      <c r="K124" s="7">
        <v>-0.54259893532357806</v>
      </c>
      <c r="L124" s="7">
        <f t="shared" si="26"/>
        <v>1.1136664296758161</v>
      </c>
      <c r="M124" s="7">
        <f t="shared" ca="1" si="21"/>
        <v>1.0502973166278113</v>
      </c>
      <c r="N124" s="7">
        <f t="shared" si="22"/>
        <v>-0.54259893532357806</v>
      </c>
      <c r="O124" s="7">
        <v>1.1071186327155238</v>
      </c>
      <c r="P124" s="7">
        <f t="shared" si="23"/>
        <v>1.0392394737026671</v>
      </c>
      <c r="Q124" s="7">
        <f t="shared" si="27"/>
        <v>-6.7879159012856682E-2</v>
      </c>
      <c r="R124" s="7">
        <f t="shared" si="24"/>
        <v>0.66692245706028386</v>
      </c>
      <c r="S124" s="7">
        <f t="shared" si="28"/>
        <v>-3.5215694052419193E-2</v>
      </c>
      <c r="T124" s="7">
        <f t="shared" si="29"/>
        <v>1</v>
      </c>
      <c r="U124" s="7">
        <f t="shared" si="25"/>
        <v>1.4210011317421174</v>
      </c>
      <c r="V124" s="7">
        <f t="shared" si="30"/>
        <v>2.9818837407526392E-2</v>
      </c>
      <c r="W124" s="7">
        <f t="shared" si="31"/>
        <v>0</v>
      </c>
      <c r="X124" s="8" t="s">
        <v>3</v>
      </c>
      <c r="Y124" s="7">
        <v>-0.54259893532357806</v>
      </c>
      <c r="Z124" s="7">
        <v>1.0392394737026671</v>
      </c>
      <c r="AC124" s="7">
        <f t="shared" si="32"/>
        <v>0.37231701664238326</v>
      </c>
      <c r="AD124" s="7">
        <f t="shared" si="33"/>
        <v>0.38176165803945028</v>
      </c>
      <c r="AE124" s="6" t="s">
        <v>3</v>
      </c>
      <c r="AF124" s="6" t="s">
        <v>3</v>
      </c>
      <c r="AG124" s="6" t="s">
        <v>3</v>
      </c>
      <c r="AH124" s="6" t="s">
        <v>3</v>
      </c>
      <c r="AI124" s="6" t="s">
        <v>3</v>
      </c>
      <c r="AJ124" s="6" t="s">
        <v>3</v>
      </c>
      <c r="AK124" s="5">
        <f t="shared" si="34"/>
        <v>227.73775975282382</v>
      </c>
      <c r="AL124" s="7">
        <f t="shared" si="35"/>
        <v>0.66692245706028386</v>
      </c>
      <c r="AM124" s="7">
        <f t="shared" si="36"/>
        <v>1.4210011317421174</v>
      </c>
    </row>
    <row r="125" spans="10:39" x14ac:dyDescent="0.25">
      <c r="J125" s="3">
        <v>119</v>
      </c>
      <c r="K125" s="7">
        <v>-0.53176917229243448</v>
      </c>
      <c r="L125" s="7">
        <f t="shared" si="26"/>
        <v>1.0501104023015948</v>
      </c>
      <c r="M125" s="7">
        <f t="shared" ca="1" si="21"/>
        <v>1.1612662704063104</v>
      </c>
      <c r="N125" s="7">
        <f t="shared" si="22"/>
        <v>-0.53176917229243448</v>
      </c>
      <c r="O125" s="7">
        <v>0.94339011097654857</v>
      </c>
      <c r="P125" s="7">
        <f t="shared" si="23"/>
        <v>0.97396507906535934</v>
      </c>
      <c r="Q125" s="7">
        <f t="shared" si="27"/>
        <v>3.0574968088810772E-2</v>
      </c>
      <c r="R125" s="7">
        <f t="shared" si="24"/>
        <v>0.59896496113925846</v>
      </c>
      <c r="S125" s="7">
        <f t="shared" si="28"/>
        <v>-2.755401198698321E-2</v>
      </c>
      <c r="T125" s="7">
        <f t="shared" si="29"/>
        <v>1</v>
      </c>
      <c r="U125" s="7">
        <f t="shared" si="25"/>
        <v>1.3666405676538302</v>
      </c>
      <c r="V125" s="7">
        <f t="shared" si="30"/>
        <v>4.0208793384341759E-2</v>
      </c>
      <c r="W125" s="7">
        <f t="shared" si="31"/>
        <v>0</v>
      </c>
      <c r="X125" s="8" t="s">
        <v>3</v>
      </c>
      <c r="Y125" s="7">
        <v>-0.53176917229243448</v>
      </c>
      <c r="Z125" s="7">
        <v>0.97396507906535934</v>
      </c>
      <c r="AC125" s="7">
        <f t="shared" si="32"/>
        <v>0.37500011792610088</v>
      </c>
      <c r="AD125" s="7">
        <f t="shared" si="33"/>
        <v>0.3926754885884709</v>
      </c>
      <c r="AE125" s="6" t="s">
        <v>3</v>
      </c>
      <c r="AF125" s="6" t="s">
        <v>3</v>
      </c>
      <c r="AG125" s="6" t="s">
        <v>3</v>
      </c>
      <c r="AH125" s="6" t="s">
        <v>3</v>
      </c>
      <c r="AI125" s="6" t="s">
        <v>3</v>
      </c>
      <c r="AJ125" s="6" t="s">
        <v>3</v>
      </c>
      <c r="AK125" s="5">
        <f t="shared" si="34"/>
        <v>233.18108620656258</v>
      </c>
      <c r="AL125" s="7">
        <f t="shared" si="35"/>
        <v>0.59896496113925846</v>
      </c>
      <c r="AM125" s="7">
        <f t="shared" si="36"/>
        <v>1.3666405676538302</v>
      </c>
    </row>
    <row r="126" spans="10:39" x14ac:dyDescent="0.25">
      <c r="J126" s="3">
        <v>120</v>
      </c>
      <c r="K126" s="7">
        <v>-0.52208082174365877</v>
      </c>
      <c r="L126" s="7">
        <f t="shared" si="26"/>
        <v>0.99394735854764493</v>
      </c>
      <c r="M126" s="7">
        <f t="shared" ca="1" si="21"/>
        <v>1.0058803915631773</v>
      </c>
      <c r="N126" s="7">
        <f t="shared" si="22"/>
        <v>-0.52208082174365877</v>
      </c>
      <c r="O126" s="7">
        <v>1.5523561816949583</v>
      </c>
      <c r="P126" s="7">
        <f t="shared" si="23"/>
        <v>0.9173554640587902</v>
      </c>
      <c r="Q126" s="7">
        <f t="shared" si="27"/>
        <v>-0.63500071763616805</v>
      </c>
      <c r="R126" s="7">
        <f t="shared" si="24"/>
        <v>0.53989543268412321</v>
      </c>
      <c r="S126" s="7">
        <f t="shared" si="28"/>
        <v>-8.0996859920866804E-2</v>
      </c>
      <c r="T126" s="7">
        <f t="shared" si="29"/>
        <v>1</v>
      </c>
      <c r="U126" s="7">
        <f t="shared" si="25"/>
        <v>1.3188639442439409</v>
      </c>
      <c r="V126" s="7">
        <f t="shared" si="30"/>
        <v>-0.21131047489317067</v>
      </c>
      <c r="W126" s="7">
        <f t="shared" si="31"/>
        <v>1</v>
      </c>
      <c r="X126" s="8" t="s">
        <v>3</v>
      </c>
      <c r="Y126" s="7">
        <v>-0.52208082174365877</v>
      </c>
      <c r="Z126" s="7">
        <v>0.9173554640587902</v>
      </c>
      <c r="AC126" s="7">
        <f t="shared" si="32"/>
        <v>0.37746003137466699</v>
      </c>
      <c r="AD126" s="7">
        <f t="shared" si="33"/>
        <v>0.40150848018515073</v>
      </c>
      <c r="AE126" s="6" t="s">
        <v>3</v>
      </c>
      <c r="AF126" s="6" t="s">
        <v>3</v>
      </c>
      <c r="AG126" s="6" t="s">
        <v>3</v>
      </c>
      <c r="AH126" s="6" t="s">
        <v>3</v>
      </c>
      <c r="AI126" s="6" t="s">
        <v>3</v>
      </c>
      <c r="AJ126" s="6" t="s">
        <v>3</v>
      </c>
      <c r="AK126" s="5">
        <f t="shared" si="34"/>
        <v>238.05070843962417</v>
      </c>
      <c r="AL126" s="7">
        <f t="shared" si="35"/>
        <v>0.53989543268412321</v>
      </c>
      <c r="AM126" s="7">
        <f t="shared" si="36"/>
        <v>1.3188639442439409</v>
      </c>
    </row>
    <row r="127" spans="10:39" x14ac:dyDescent="0.25">
      <c r="J127" s="3">
        <v>121</v>
      </c>
      <c r="K127" s="7">
        <v>-0.51500984452762211</v>
      </c>
      <c r="L127" s="7">
        <f t="shared" si="26"/>
        <v>0.95348984469033782</v>
      </c>
      <c r="M127" s="7">
        <f t="shared" ca="1" si="21"/>
        <v>1.0631247851453787</v>
      </c>
      <c r="N127" s="7">
        <f t="shared" si="22"/>
        <v>-0.51500984452762211</v>
      </c>
      <c r="O127" s="7">
        <v>0.87737078339729568</v>
      </c>
      <c r="P127" s="7">
        <f t="shared" si="23"/>
        <v>0.87721626715312739</v>
      </c>
      <c r="Q127" s="7">
        <f t="shared" si="27"/>
        <v>-1.5451624416829013E-4</v>
      </c>
      <c r="R127" s="7">
        <f t="shared" si="24"/>
        <v>0.49795615655383285</v>
      </c>
      <c r="S127" s="7">
        <f t="shared" si="28"/>
        <v>-3.0353170147477026E-2</v>
      </c>
      <c r="T127" s="7">
        <f t="shared" si="29"/>
        <v>1</v>
      </c>
      <c r="U127" s="7">
        <f t="shared" si="25"/>
        <v>1.2845536916246194</v>
      </c>
      <c r="V127" s="7">
        <f t="shared" si="30"/>
        <v>3.8682376281595751E-2</v>
      </c>
      <c r="W127" s="7">
        <f t="shared" si="31"/>
        <v>0</v>
      </c>
      <c r="X127" s="8" t="s">
        <v>3</v>
      </c>
      <c r="Y127" s="7">
        <v>-0.51500984452762211</v>
      </c>
      <c r="Z127" s="7">
        <v>0.87721626715312739</v>
      </c>
      <c r="AC127" s="7">
        <f t="shared" si="32"/>
        <v>0.37926011059929454</v>
      </c>
      <c r="AD127" s="7">
        <f t="shared" si="33"/>
        <v>0.40733742447149202</v>
      </c>
      <c r="AE127" s="6" t="s">
        <v>3</v>
      </c>
      <c r="AF127" s="6" t="s">
        <v>3</v>
      </c>
      <c r="AG127" s="6" t="s">
        <v>3</v>
      </c>
      <c r="AH127" s="6" t="s">
        <v>3</v>
      </c>
      <c r="AI127" s="6" t="s">
        <v>3</v>
      </c>
      <c r="AJ127" s="6" t="s">
        <v>3</v>
      </c>
      <c r="AK127" s="5">
        <f t="shared" si="34"/>
        <v>241.60476933857004</v>
      </c>
      <c r="AL127" s="7">
        <f t="shared" si="35"/>
        <v>0.49795615655383285</v>
      </c>
      <c r="AM127" s="7">
        <f t="shared" si="36"/>
        <v>1.2845536916246194</v>
      </c>
    </row>
    <row r="128" spans="10:39" x14ac:dyDescent="0.25">
      <c r="J128" s="3">
        <v>122</v>
      </c>
      <c r="K128" s="7">
        <v>-0.51218009185809343</v>
      </c>
      <c r="L128" s="7">
        <f t="shared" si="26"/>
        <v>0.93744348244085007</v>
      </c>
      <c r="M128" s="7">
        <f t="shared" ca="1" si="21"/>
        <v>1.0973351247891809</v>
      </c>
      <c r="N128" s="7">
        <f t="shared" si="22"/>
        <v>-0.51218009185809343</v>
      </c>
      <c r="O128" s="7">
        <v>0.82797476777934664</v>
      </c>
      <c r="P128" s="7">
        <f t="shared" si="23"/>
        <v>0.86144680564211074</v>
      </c>
      <c r="Q128" s="7">
        <f t="shared" si="27"/>
        <v>3.3472037862764092E-2</v>
      </c>
      <c r="R128" s="7">
        <f t="shared" si="24"/>
        <v>0.48146995292673633</v>
      </c>
      <c r="S128" s="7">
        <f t="shared" si="28"/>
        <v>-2.7720385188208824E-2</v>
      </c>
      <c r="T128" s="7">
        <f t="shared" si="29"/>
        <v>1</v>
      </c>
      <c r="U128" s="7">
        <f t="shared" si="25"/>
        <v>1.2709626164829821</v>
      </c>
      <c r="V128" s="7">
        <f t="shared" si="30"/>
        <v>4.2083845626845376E-2</v>
      </c>
      <c r="W128" s="7">
        <f t="shared" si="31"/>
        <v>0</v>
      </c>
      <c r="X128" s="8" t="s">
        <v>3</v>
      </c>
      <c r="Y128" s="7">
        <v>-0.51218009185809343</v>
      </c>
      <c r="Z128" s="7">
        <v>0.86144680564211074</v>
      </c>
      <c r="AC128" s="7">
        <f t="shared" si="32"/>
        <v>0.3799768527153744</v>
      </c>
      <c r="AD128" s="7">
        <f t="shared" si="33"/>
        <v>0.40951581084087141</v>
      </c>
      <c r="AE128" s="6" t="s">
        <v>3</v>
      </c>
      <c r="AF128" s="6" t="s">
        <v>3</v>
      </c>
      <c r="AG128" s="6" t="s">
        <v>3</v>
      </c>
      <c r="AH128" s="6" t="s">
        <v>3</v>
      </c>
      <c r="AI128" s="6" t="s">
        <v>3</v>
      </c>
      <c r="AJ128" s="6" t="s">
        <v>3</v>
      </c>
      <c r="AK128" s="5">
        <f t="shared" si="34"/>
        <v>243.02707816649982</v>
      </c>
      <c r="AL128" s="7">
        <f t="shared" si="35"/>
        <v>0.48146995292673633</v>
      </c>
      <c r="AM128" s="7">
        <f t="shared" si="36"/>
        <v>1.2709626164829821</v>
      </c>
    </row>
    <row r="129" spans="10:39" x14ac:dyDescent="0.25">
      <c r="J129" s="3">
        <v>123</v>
      </c>
      <c r="K129" s="7">
        <v>-0.50752385203867267</v>
      </c>
      <c r="L129" s="7">
        <f t="shared" si="26"/>
        <v>0.9112356131246061</v>
      </c>
      <c r="M129" s="7">
        <f t="shared" ca="1" si="21"/>
        <v>0.73137765174419533</v>
      </c>
      <c r="N129" s="7">
        <f t="shared" si="22"/>
        <v>-0.50752385203867267</v>
      </c>
      <c r="O129" s="7">
        <v>0.71127706980334171</v>
      </c>
      <c r="P129" s="7">
        <f t="shared" si="23"/>
        <v>0.83587677013274897</v>
      </c>
      <c r="Q129" s="7">
        <f t="shared" si="27"/>
        <v>0.12459970032940726</v>
      </c>
      <c r="R129" s="7">
        <f t="shared" si="24"/>
        <v>0.45472914676019816</v>
      </c>
      <c r="S129" s="7">
        <f t="shared" si="28"/>
        <v>-2.0523833843451484E-2</v>
      </c>
      <c r="T129" s="7">
        <f t="shared" si="29"/>
        <v>1</v>
      </c>
      <c r="U129" s="7">
        <f t="shared" si="25"/>
        <v>1.2487790295506904</v>
      </c>
      <c r="V129" s="7">
        <f t="shared" si="30"/>
        <v>5.1062686175998129E-2</v>
      </c>
      <c r="W129" s="7">
        <f t="shared" si="31"/>
        <v>0</v>
      </c>
      <c r="X129" s="8" t="s">
        <v>3</v>
      </c>
      <c r="Y129" s="7">
        <v>-0.50752385203867267</v>
      </c>
      <c r="Z129" s="7">
        <v>0.83587677013274897</v>
      </c>
      <c r="AC129" s="7">
        <f t="shared" si="32"/>
        <v>0.38114762337255081</v>
      </c>
      <c r="AD129" s="7">
        <f t="shared" si="33"/>
        <v>0.41290225941794145</v>
      </c>
      <c r="AE129" s="6" t="s">
        <v>3</v>
      </c>
      <c r="AF129" s="6" t="s">
        <v>3</v>
      </c>
      <c r="AG129" s="6" t="s">
        <v>3</v>
      </c>
      <c r="AH129" s="6" t="s">
        <v>3</v>
      </c>
      <c r="AI129" s="6" t="s">
        <v>3</v>
      </c>
      <c r="AJ129" s="6" t="s">
        <v>3</v>
      </c>
      <c r="AK129" s="5">
        <f t="shared" si="34"/>
        <v>245.36742793325999</v>
      </c>
      <c r="AL129" s="7">
        <f t="shared" si="35"/>
        <v>0.45472914676019816</v>
      </c>
      <c r="AM129" s="7">
        <f t="shared" si="36"/>
        <v>1.2487790295506904</v>
      </c>
    </row>
    <row r="130" spans="10:39" x14ac:dyDescent="0.25">
      <c r="J130" s="3">
        <v>124</v>
      </c>
      <c r="K130" s="7">
        <v>-0.50368466934876954</v>
      </c>
      <c r="L130" s="7">
        <f t="shared" si="26"/>
        <v>0.88982086645032654</v>
      </c>
      <c r="M130" s="7">
        <f t="shared" ca="1" si="21"/>
        <v>0.82915261075468205</v>
      </c>
      <c r="N130" s="7">
        <f t="shared" si="22"/>
        <v>-0.50368466934876954</v>
      </c>
      <c r="O130" s="7">
        <v>0.68974864673202141</v>
      </c>
      <c r="P130" s="7">
        <f t="shared" si="23"/>
        <v>0.81515502531904227</v>
      </c>
      <c r="Q130" s="7">
        <f t="shared" si="27"/>
        <v>0.12540637858702086</v>
      </c>
      <c r="R130" s="7">
        <f t="shared" si="24"/>
        <v>0.43305290430242227</v>
      </c>
      <c r="S130" s="7">
        <f t="shared" si="28"/>
        <v>-2.0535659394367932E-2</v>
      </c>
      <c r="T130" s="7">
        <f t="shared" si="29"/>
        <v>1</v>
      </c>
      <c r="U130" s="7">
        <f t="shared" si="25"/>
        <v>1.2306607208701925</v>
      </c>
      <c r="V130" s="7">
        <f t="shared" si="30"/>
        <v>5.1386647043126253E-2</v>
      </c>
      <c r="W130" s="7">
        <f t="shared" si="31"/>
        <v>0</v>
      </c>
      <c r="X130" s="8" t="s">
        <v>3</v>
      </c>
      <c r="Y130" s="7">
        <v>-0.50368466934876954</v>
      </c>
      <c r="Z130" s="7">
        <v>0.81515502531904227</v>
      </c>
      <c r="AC130" s="7">
        <f t="shared" si="32"/>
        <v>0.38210212101662</v>
      </c>
      <c r="AD130" s="7">
        <f t="shared" si="33"/>
        <v>0.41550569555115024</v>
      </c>
      <c r="AE130" s="6" t="s">
        <v>3</v>
      </c>
      <c r="AF130" s="6" t="s">
        <v>3</v>
      </c>
      <c r="AG130" s="6" t="s">
        <v>3</v>
      </c>
      <c r="AH130" s="6" t="s">
        <v>3</v>
      </c>
      <c r="AI130" s="6" t="s">
        <v>3</v>
      </c>
      <c r="AJ130" s="6" t="s">
        <v>3</v>
      </c>
      <c r="AK130" s="5">
        <f t="shared" si="34"/>
        <v>247.29710309204128</v>
      </c>
      <c r="AL130" s="7">
        <f t="shared" si="35"/>
        <v>0.43305290430242227</v>
      </c>
      <c r="AM130" s="7">
        <f t="shared" si="36"/>
        <v>1.2306607208701925</v>
      </c>
    </row>
    <row r="131" spans="10:39" x14ac:dyDescent="0.25">
      <c r="J131" s="3">
        <v>125</v>
      </c>
      <c r="K131" s="7">
        <v>-0.49678176518310879</v>
      </c>
      <c r="L131" s="7">
        <f t="shared" si="26"/>
        <v>0.8517911644265509</v>
      </c>
      <c r="M131" s="7">
        <f t="shared" ca="1" si="21"/>
        <v>0.51565740236641544</v>
      </c>
      <c r="N131" s="7">
        <f t="shared" si="22"/>
        <v>-0.49678176518310879</v>
      </c>
      <c r="O131" s="7">
        <v>1.2043606089356924</v>
      </c>
      <c r="P131" s="7">
        <f t="shared" si="23"/>
        <v>0.7787389680058463</v>
      </c>
      <c r="Q131" s="7">
        <f t="shared" si="27"/>
        <v>-0.42562164092984611</v>
      </c>
      <c r="R131" s="7">
        <f t="shared" si="24"/>
        <v>0.3949533244619281</v>
      </c>
      <c r="S131" s="7">
        <f t="shared" si="28"/>
        <v>-6.4752582757901148E-2</v>
      </c>
      <c r="T131" s="7">
        <f t="shared" si="29"/>
        <v>1</v>
      </c>
      <c r="U131" s="7">
        <f t="shared" si="25"/>
        <v>1.1984881890050791</v>
      </c>
      <c r="V131" s="7">
        <f t="shared" si="30"/>
        <v>-5.3145400372050103E-3</v>
      </c>
      <c r="W131" s="7">
        <f t="shared" si="31"/>
        <v>1</v>
      </c>
      <c r="X131" s="8" t="s">
        <v>3</v>
      </c>
      <c r="Y131" s="7">
        <v>-0.49678176518310879</v>
      </c>
      <c r="Z131" s="7">
        <v>0.7787389680058463</v>
      </c>
      <c r="AC131" s="7">
        <f t="shared" si="32"/>
        <v>0.3837856435439182</v>
      </c>
      <c r="AD131" s="7">
        <f t="shared" si="33"/>
        <v>0.41974922099923284</v>
      </c>
      <c r="AE131" s="6" t="s">
        <v>3</v>
      </c>
      <c r="AF131" s="6" t="s">
        <v>3</v>
      </c>
      <c r="AG131" s="6" t="s">
        <v>3</v>
      </c>
      <c r="AH131" s="6" t="s">
        <v>3</v>
      </c>
      <c r="AI131" s="6" t="s">
        <v>3</v>
      </c>
      <c r="AJ131" s="6" t="s">
        <v>3</v>
      </c>
      <c r="AK131" s="5">
        <f t="shared" si="34"/>
        <v>250.76668601315504</v>
      </c>
      <c r="AL131" s="7">
        <f t="shared" si="35"/>
        <v>0.3949533244619281</v>
      </c>
      <c r="AM131" s="7">
        <f t="shared" si="36"/>
        <v>1.1984881890050791</v>
      </c>
    </row>
    <row r="132" spans="10:39" x14ac:dyDescent="0.25">
      <c r="J132" s="3">
        <v>126</v>
      </c>
      <c r="K132" s="7">
        <v>-0.49190110875431792</v>
      </c>
      <c r="L132" s="7">
        <f t="shared" si="26"/>
        <v>0.82529453628036686</v>
      </c>
      <c r="M132" s="7">
        <f t="shared" ca="1" si="21"/>
        <v>0.68975108718070055</v>
      </c>
      <c r="N132" s="7">
        <f t="shared" si="22"/>
        <v>-0.49190110875431792</v>
      </c>
      <c r="O132" s="7">
        <v>0.75362410519214451</v>
      </c>
      <c r="P132" s="7">
        <f t="shared" si="23"/>
        <v>0.75365730449874802</v>
      </c>
      <c r="Q132" s="7">
        <f t="shared" si="27"/>
        <v>3.319930660350412E-5</v>
      </c>
      <c r="R132" s="7">
        <f t="shared" si="24"/>
        <v>0.36871253012462102</v>
      </c>
      <c r="S132" s="7">
        <f t="shared" si="28"/>
        <v>-3.0792926005401879E-2</v>
      </c>
      <c r="T132" s="7">
        <f t="shared" si="29"/>
        <v>1</v>
      </c>
      <c r="U132" s="7">
        <f t="shared" si="25"/>
        <v>1.1760631412699973</v>
      </c>
      <c r="V132" s="7">
        <f t="shared" si="30"/>
        <v>4.0131708427396016E-2</v>
      </c>
      <c r="W132" s="7">
        <f t="shared" si="31"/>
        <v>0</v>
      </c>
      <c r="X132" s="8" t="s">
        <v>3</v>
      </c>
      <c r="Y132" s="7">
        <v>-0.49190110875431792</v>
      </c>
      <c r="Z132" s="7">
        <v>0.75365730449874802</v>
      </c>
      <c r="AC132" s="7">
        <f t="shared" si="32"/>
        <v>0.384944774374127</v>
      </c>
      <c r="AD132" s="7">
        <f t="shared" si="33"/>
        <v>0.42240583677124932</v>
      </c>
      <c r="AE132" s="6" t="s">
        <v>3</v>
      </c>
      <c r="AF132" s="6" t="s">
        <v>3</v>
      </c>
      <c r="AG132" s="6" t="s">
        <v>3</v>
      </c>
      <c r="AH132" s="6" t="s">
        <v>3</v>
      </c>
      <c r="AI132" s="6" t="s">
        <v>3</v>
      </c>
      <c r="AJ132" s="6" t="s">
        <v>3</v>
      </c>
      <c r="AK132" s="5">
        <f t="shared" si="34"/>
        <v>253.21983352654456</v>
      </c>
      <c r="AL132" s="7">
        <f t="shared" si="35"/>
        <v>0.36871253012462102</v>
      </c>
      <c r="AM132" s="7">
        <f t="shared" si="36"/>
        <v>1.1760631412699973</v>
      </c>
    </row>
    <row r="133" spans="10:39" x14ac:dyDescent="0.25">
      <c r="J133" s="3">
        <v>127</v>
      </c>
      <c r="K133" s="7">
        <v>-0.46858217834215332</v>
      </c>
      <c r="L133" s="7">
        <f t="shared" si="26"/>
        <v>0.70372943756830519</v>
      </c>
      <c r="M133" s="7">
        <f t="shared" ca="1" si="21"/>
        <v>0.4851595992750386</v>
      </c>
      <c r="N133" s="7">
        <f t="shared" si="22"/>
        <v>-0.46858217834215332</v>
      </c>
      <c r="O133" s="7">
        <v>0.37730063962980376</v>
      </c>
      <c r="P133" s="7">
        <f t="shared" si="23"/>
        <v>0.64164337329094145</v>
      </c>
      <c r="Q133" s="7">
        <f t="shared" si="27"/>
        <v>0.2643427336611377</v>
      </c>
      <c r="R133" s="7">
        <f t="shared" si="24"/>
        <v>0.25164380857214841</v>
      </c>
      <c r="S133" s="7">
        <f t="shared" si="28"/>
        <v>-1.0052546484612427E-2</v>
      </c>
      <c r="T133" s="7">
        <f t="shared" si="29"/>
        <v>1</v>
      </c>
      <c r="U133" s="7">
        <f t="shared" si="25"/>
        <v>1.0727916018176817</v>
      </c>
      <c r="V133" s="7">
        <f t="shared" si="30"/>
        <v>6.6071641407848408E-2</v>
      </c>
      <c r="W133" s="7">
        <f t="shared" si="31"/>
        <v>0</v>
      </c>
      <c r="X133" s="8" t="s">
        <v>3</v>
      </c>
      <c r="Y133" s="7">
        <v>-0.46858217834215332</v>
      </c>
      <c r="Z133" s="7">
        <v>0.64164337329094145</v>
      </c>
      <c r="AC133" s="7">
        <f t="shared" si="32"/>
        <v>0.38999956471879305</v>
      </c>
      <c r="AD133" s="7">
        <f t="shared" si="33"/>
        <v>0.43114822852674028</v>
      </c>
      <c r="AE133" s="6" t="s">
        <v>3</v>
      </c>
      <c r="AF133" s="6" t="s">
        <v>3</v>
      </c>
      <c r="AG133" s="6" t="s">
        <v>3</v>
      </c>
      <c r="AH133" s="6" t="s">
        <v>3</v>
      </c>
      <c r="AI133" s="6" t="s">
        <v>3</v>
      </c>
      <c r="AJ133" s="6" t="s">
        <v>3</v>
      </c>
      <c r="AK133" s="5">
        <f t="shared" si="34"/>
        <v>264.94054712114524</v>
      </c>
      <c r="AL133" s="7">
        <f t="shared" si="35"/>
        <v>0.25164380857214841</v>
      </c>
      <c r="AM133" s="7">
        <f t="shared" si="36"/>
        <v>1.0727916018176817</v>
      </c>
    </row>
    <row r="134" spans="10:39" x14ac:dyDescent="0.25">
      <c r="J134" s="3">
        <v>128</v>
      </c>
      <c r="K134" s="7">
        <v>-0.46685691323570566</v>
      </c>
      <c r="L134" s="7">
        <f t="shared" si="26"/>
        <v>0.6950929528875669</v>
      </c>
      <c r="M134" s="7">
        <f t="shared" ca="1" si="21"/>
        <v>0.51278341640990754</v>
      </c>
      <c r="N134" s="7">
        <f t="shared" si="22"/>
        <v>-0.46685691323570566</v>
      </c>
      <c r="O134" s="7">
        <v>0.68659555579355802</v>
      </c>
      <c r="P134" s="7">
        <f t="shared" si="23"/>
        <v>0.6338752170943085</v>
      </c>
      <c r="Q134" s="7">
        <f t="shared" si="27"/>
        <v>-5.2720338699249525E-2</v>
      </c>
      <c r="R134" s="7">
        <f t="shared" si="24"/>
        <v>0.24353931559719655</v>
      </c>
      <c r="S134" s="7">
        <f t="shared" si="28"/>
        <v>-3.544449921570892E-2</v>
      </c>
      <c r="T134" s="7">
        <f t="shared" si="29"/>
        <v>1</v>
      </c>
      <c r="U134" s="7">
        <f t="shared" si="25"/>
        <v>1.0654139771701854</v>
      </c>
      <c r="V134" s="7">
        <f t="shared" si="30"/>
        <v>3.59877500307796E-2</v>
      </c>
      <c r="W134" s="7">
        <f t="shared" si="31"/>
        <v>0</v>
      </c>
      <c r="X134" s="8" t="s">
        <v>3</v>
      </c>
      <c r="Y134" s="7">
        <v>-0.46685691323570566</v>
      </c>
      <c r="Z134" s="7">
        <v>0.6338752170943085</v>
      </c>
      <c r="AC134" s="7">
        <f t="shared" si="32"/>
        <v>0.39033590149711195</v>
      </c>
      <c r="AD134" s="7">
        <f t="shared" si="33"/>
        <v>0.43153876007587688</v>
      </c>
      <c r="AE134" s="6" t="s">
        <v>3</v>
      </c>
      <c r="AF134" s="6" t="s">
        <v>3</v>
      </c>
      <c r="AG134" s="6" t="s">
        <v>3</v>
      </c>
      <c r="AH134" s="6" t="s">
        <v>3</v>
      </c>
      <c r="AI134" s="6" t="s">
        <v>3</v>
      </c>
      <c r="AJ134" s="6" t="s">
        <v>3</v>
      </c>
      <c r="AK134" s="5">
        <f t="shared" si="34"/>
        <v>265.80771117327015</v>
      </c>
      <c r="AL134" s="7">
        <f t="shared" si="35"/>
        <v>0.24353931559719655</v>
      </c>
      <c r="AM134" s="7">
        <f t="shared" si="36"/>
        <v>1.0654139771701854</v>
      </c>
    </row>
    <row r="135" spans="10:39" x14ac:dyDescent="0.25">
      <c r="J135" s="3">
        <v>129</v>
      </c>
      <c r="K135" s="7">
        <v>-0.46471496901481668</v>
      </c>
      <c r="L135" s="7">
        <f t="shared" si="26"/>
        <v>0.68444332187107138</v>
      </c>
      <c r="M135" s="7">
        <f t="shared" ref="M135:M198" ca="1" si="37">L135+0.9*_xlfn.NORM.INV(RAND(),0,0.1)+0.1*_xlfn.NORM.INV(RAND(),0,2)</f>
        <v>0.62727235588801789</v>
      </c>
      <c r="N135" s="7">
        <f t="shared" ref="N135:N198" si="38">K135</f>
        <v>-0.46471496901481668</v>
      </c>
      <c r="O135" s="7">
        <v>0.48853280185206499</v>
      </c>
      <c r="P135" s="7">
        <f t="shared" ref="P135:P198" si="39">AG$8+AG$9*TANH(AG$10+AG$11*TANH(AG$12+AG$13*N135)+AG$14*TANH(AG$15+AG$16*N135)+AG$17*TANH(AG$18+AG$19*N135)+AG$20*TANH(AG$21+AG$22*N135))+AG$23*TANH(AG$24+AG$25*N135)</f>
        <v>0.62433055477620991</v>
      </c>
      <c r="Q135" s="7">
        <f t="shared" si="27"/>
        <v>0.13579775292414492</v>
      </c>
      <c r="R135" s="7">
        <f t="shared" ref="R135:R198" si="40">AH$8+AH$9*TANH(AH$10+AH$11*TANH(AH$12+AH$13*$N135)+AH$14*TANH(AH$15+AH$16*$N135)+AH$17*TANH(AH$18+AH$19*$N135)+AH$20*TANH(AH$21+AH$22*$N135))+AH$23*TANH(AH$24+AH$25*$N135)</f>
        <v>0.2335851524836503</v>
      </c>
      <c r="S135" s="7">
        <f t="shared" si="28"/>
        <v>-2.0395811949473177E-2</v>
      </c>
      <c r="T135" s="7">
        <f t="shared" si="29"/>
        <v>1</v>
      </c>
      <c r="U135" s="7">
        <f t="shared" ref="U135:U198" si="41">AI$8+AI$9*TANH(AI$10+AI$11*TANH(AI$12+AI$13*$N135)+AI$14*TANH(AI$15+AI$16*$N135)+AI$17*TANH(AI$18+AI$19*$N135)+AI$20*TANH(AI$21+AI$22*$N135))+AI$23*TANH(AI$24+AI$25*$N135)</f>
        <v>1.0563061983196109</v>
      </c>
      <c r="V135" s="7">
        <f t="shared" si="30"/>
        <v>5.393847266441687E-2</v>
      </c>
      <c r="W135" s="7">
        <f t="shared" si="31"/>
        <v>0</v>
      </c>
      <c r="X135" s="8" t="s">
        <v>3</v>
      </c>
      <c r="Y135" s="7">
        <v>-0.46471496901481668</v>
      </c>
      <c r="Z135" s="7">
        <v>0.62433055477620991</v>
      </c>
      <c r="AC135" s="7">
        <f t="shared" si="32"/>
        <v>0.39074540229255961</v>
      </c>
      <c r="AD135" s="7">
        <f t="shared" si="33"/>
        <v>0.43197564354340101</v>
      </c>
      <c r="AE135" s="6" t="s">
        <v>3</v>
      </c>
      <c r="AF135" s="6" t="s">
        <v>3</v>
      </c>
      <c r="AG135" s="6" t="s">
        <v>3</v>
      </c>
      <c r="AH135" s="6" t="s">
        <v>3</v>
      </c>
      <c r="AI135" s="6" t="s">
        <v>3</v>
      </c>
      <c r="AJ135" s="6" t="s">
        <v>3</v>
      </c>
      <c r="AK135" s="5">
        <f t="shared" si="34"/>
        <v>266.88430921207021</v>
      </c>
      <c r="AL135" s="7">
        <f t="shared" si="35"/>
        <v>0.2335851524836503</v>
      </c>
      <c r="AM135" s="7">
        <f t="shared" si="36"/>
        <v>1.0563061983196109</v>
      </c>
    </row>
    <row r="136" spans="10:39" x14ac:dyDescent="0.25">
      <c r="J136" s="3">
        <v>130</v>
      </c>
      <c r="K136" s="7">
        <v>-0.46447916072906281</v>
      </c>
      <c r="L136" s="7">
        <f t="shared" ref="L136:L199" si="42">15*(K136^2-1)^2*K136^4*EXP(-1*K136)</f>
        <v>0.68327585471791363</v>
      </c>
      <c r="M136" s="7">
        <f t="shared" ca="1" si="37"/>
        <v>0.84233538600611024</v>
      </c>
      <c r="N136" s="7">
        <f t="shared" si="38"/>
        <v>-0.46447916072906281</v>
      </c>
      <c r="O136" s="7">
        <v>0.59524248618764519</v>
      </c>
      <c r="P136" s="7">
        <f t="shared" si="39"/>
        <v>0.62328651346753183</v>
      </c>
      <c r="Q136" s="7">
        <f t="shared" ref="Q136:Q199" si="43">P136-O136</f>
        <v>2.8044027279886641E-2</v>
      </c>
      <c r="R136" s="7">
        <f t="shared" si="40"/>
        <v>0.23249658216455416</v>
      </c>
      <c r="S136" s="7">
        <f t="shared" ref="S136:S199" si="44">IF(R136-O136&gt;0,1-$S$5,$S$5)*(R136-O136)</f>
        <v>-2.9019672321847285E-2</v>
      </c>
      <c r="T136" s="7">
        <f t="shared" ref="T136:T199" si="45">IF(R136&lt;O136,1,0)</f>
        <v>1</v>
      </c>
      <c r="U136" s="7">
        <f t="shared" si="41"/>
        <v>1.0553070234064232</v>
      </c>
      <c r="V136" s="7">
        <f t="shared" ref="V136:V199" si="46">IF(U136-O136&lt;0,1-$V$5,$V$5)*(U136-O136)</f>
        <v>4.3706131035783913E-2</v>
      </c>
      <c r="W136" s="7">
        <f t="shared" ref="W136:W199" si="47">IF(U136&lt;O136,1,0)</f>
        <v>0</v>
      </c>
      <c r="X136" s="8" t="s">
        <v>3</v>
      </c>
      <c r="Y136" s="7">
        <v>-0.46447916072906281</v>
      </c>
      <c r="Z136" s="7">
        <v>0.62328651346753183</v>
      </c>
      <c r="AC136" s="7">
        <f t="shared" ref="AC136:AC199" si="48">P136-R136</f>
        <v>0.39078993130297768</v>
      </c>
      <c r="AD136" s="7">
        <f t="shared" ref="AD136:AD199" si="49">U136-P136</f>
        <v>0.43202050993889141</v>
      </c>
      <c r="AE136" s="6" t="s">
        <v>3</v>
      </c>
      <c r="AF136" s="6" t="s">
        <v>3</v>
      </c>
      <c r="AG136" s="6" t="s">
        <v>3</v>
      </c>
      <c r="AH136" s="6" t="s">
        <v>3</v>
      </c>
      <c r="AI136" s="6" t="s">
        <v>3</v>
      </c>
      <c r="AJ136" s="6" t="s">
        <v>3</v>
      </c>
      <c r="AK136" s="5">
        <f t="shared" ref="AK136:AK199" si="50">1000*(N136-MIN(N$7:N$507))/(MAX(N$7:N$507)-MIN(N$7:N$507))</f>
        <v>267.00283271772435</v>
      </c>
      <c r="AL136" s="7">
        <f t="shared" ref="AL136:AL199" si="51">R136</f>
        <v>0.23249658216455416</v>
      </c>
      <c r="AM136" s="7">
        <f t="shared" ref="AM136:AM199" si="52">U136-0*R136</f>
        <v>1.0553070234064232</v>
      </c>
    </row>
    <row r="137" spans="10:39" x14ac:dyDescent="0.25">
      <c r="J137" s="3">
        <v>131</v>
      </c>
      <c r="K137" s="7">
        <v>-0.46218015604968898</v>
      </c>
      <c r="L137" s="7">
        <f t="shared" si="42"/>
        <v>0.67194564861574835</v>
      </c>
      <c r="M137" s="7">
        <f t="shared" ca="1" si="37"/>
        <v>0.75930518984518025</v>
      </c>
      <c r="N137" s="7">
        <f t="shared" si="38"/>
        <v>-0.46218015604968898</v>
      </c>
      <c r="O137" s="7">
        <v>0.43076700797178724</v>
      </c>
      <c r="P137" s="7">
        <f t="shared" si="39"/>
        <v>0.61317761342860555</v>
      </c>
      <c r="Q137" s="7">
        <f t="shared" si="43"/>
        <v>0.18241060545681831</v>
      </c>
      <c r="R137" s="7">
        <f t="shared" si="40"/>
        <v>0.22195937989733405</v>
      </c>
      <c r="S137" s="7">
        <f t="shared" si="44"/>
        <v>-1.6704610245956257E-2</v>
      </c>
      <c r="T137" s="7">
        <f t="shared" si="45"/>
        <v>1</v>
      </c>
      <c r="U137" s="7">
        <f t="shared" si="41"/>
        <v>1.0456021774239261</v>
      </c>
      <c r="V137" s="7">
        <f t="shared" si="46"/>
        <v>5.8409341097953198E-2</v>
      </c>
      <c r="W137" s="7">
        <f t="shared" si="47"/>
        <v>0</v>
      </c>
      <c r="X137" s="8" t="s">
        <v>3</v>
      </c>
      <c r="Y137" s="7">
        <v>-0.46218015604968898</v>
      </c>
      <c r="Z137" s="7">
        <v>0.61317761342860555</v>
      </c>
      <c r="AC137" s="7">
        <f t="shared" si="48"/>
        <v>0.3912182335312715</v>
      </c>
      <c r="AD137" s="7">
        <f t="shared" si="49"/>
        <v>0.43242456399532059</v>
      </c>
      <c r="AE137" s="6" t="s">
        <v>3</v>
      </c>
      <c r="AF137" s="6" t="s">
        <v>3</v>
      </c>
      <c r="AG137" s="6" t="s">
        <v>3</v>
      </c>
      <c r="AH137" s="6" t="s">
        <v>3</v>
      </c>
      <c r="AI137" s="6" t="s">
        <v>3</v>
      </c>
      <c r="AJ137" s="6" t="s">
        <v>3</v>
      </c>
      <c r="AK137" s="5">
        <f t="shared" si="50"/>
        <v>268.1583735132632</v>
      </c>
      <c r="AL137" s="7">
        <f t="shared" si="51"/>
        <v>0.22195937989733405</v>
      </c>
      <c r="AM137" s="7">
        <f t="shared" si="52"/>
        <v>1.0456021774239261</v>
      </c>
    </row>
    <row r="138" spans="10:39" x14ac:dyDescent="0.25">
      <c r="J138" s="3">
        <v>132</v>
      </c>
      <c r="K138" s="7">
        <v>-0.46215887660111243</v>
      </c>
      <c r="L138" s="7">
        <f t="shared" si="42"/>
        <v>0.67184121923541984</v>
      </c>
      <c r="M138" s="7">
        <f t="shared" ca="1" si="37"/>
        <v>0.68267694380736565</v>
      </c>
      <c r="N138" s="7">
        <f t="shared" si="38"/>
        <v>-0.46215887660111243</v>
      </c>
      <c r="O138" s="7">
        <v>8.7118090973541062E-2</v>
      </c>
      <c r="P138" s="7">
        <f t="shared" si="39"/>
        <v>0.61308463821719705</v>
      </c>
      <c r="Q138" s="7">
        <f t="shared" si="43"/>
        <v>0.52596654724365599</v>
      </c>
      <c r="R138" s="7">
        <f t="shared" si="40"/>
        <v>0.22186249012205028</v>
      </c>
      <c r="S138" s="7">
        <f t="shared" si="44"/>
        <v>0.12396484721662848</v>
      </c>
      <c r="T138" s="7">
        <f t="shared" si="45"/>
        <v>0</v>
      </c>
      <c r="U138" s="7">
        <f t="shared" si="41"/>
        <v>1.0455126603798834</v>
      </c>
      <c r="V138" s="7">
        <f t="shared" si="46"/>
        <v>9.1047484093602526E-2</v>
      </c>
      <c r="W138" s="7">
        <f t="shared" si="47"/>
        <v>0</v>
      </c>
      <c r="X138" s="8" t="s">
        <v>3</v>
      </c>
      <c r="Y138" s="7">
        <v>-0.46215887660111243</v>
      </c>
      <c r="Z138" s="7">
        <v>0.61308463821719705</v>
      </c>
      <c r="AC138" s="7">
        <f t="shared" si="48"/>
        <v>0.39122214809514677</v>
      </c>
      <c r="AD138" s="7">
        <f t="shared" si="49"/>
        <v>0.43242802216268639</v>
      </c>
      <c r="AE138" s="6" t="s">
        <v>3</v>
      </c>
      <c r="AF138" s="6" t="s">
        <v>3</v>
      </c>
      <c r="AG138" s="6" t="s">
        <v>3</v>
      </c>
      <c r="AH138" s="6" t="s">
        <v>3</v>
      </c>
      <c r="AI138" s="6" t="s">
        <v>3</v>
      </c>
      <c r="AJ138" s="6" t="s">
        <v>3</v>
      </c>
      <c r="AK138" s="5">
        <f t="shared" si="50"/>
        <v>268.16906912913447</v>
      </c>
      <c r="AL138" s="7">
        <f t="shared" si="51"/>
        <v>0.22186249012205028</v>
      </c>
      <c r="AM138" s="7">
        <f t="shared" si="52"/>
        <v>1.0455126603798834</v>
      </c>
    </row>
    <row r="139" spans="10:39" x14ac:dyDescent="0.25">
      <c r="J139" s="3">
        <v>133</v>
      </c>
      <c r="K139" s="7">
        <v>-0.45623446596919082</v>
      </c>
      <c r="L139" s="7">
        <f t="shared" si="42"/>
        <v>0.64308695191529708</v>
      </c>
      <c r="M139" s="7">
        <f t="shared" ca="1" si="37"/>
        <v>0.35880859077410809</v>
      </c>
      <c r="N139" s="7">
        <f t="shared" si="38"/>
        <v>-0.45623446596919082</v>
      </c>
      <c r="O139" s="7">
        <v>0.28413150882881633</v>
      </c>
      <c r="P139" s="7">
        <f t="shared" si="39"/>
        <v>0.58762060875656319</v>
      </c>
      <c r="Q139" s="7">
        <f t="shared" si="43"/>
        <v>0.30348909992774686</v>
      </c>
      <c r="R139" s="7">
        <f t="shared" si="40"/>
        <v>0.19534490582418451</v>
      </c>
      <c r="S139" s="7">
        <f t="shared" si="44"/>
        <v>-7.1029282403705452E-3</v>
      </c>
      <c r="T139" s="7">
        <f t="shared" si="45"/>
        <v>1</v>
      </c>
      <c r="U139" s="7">
        <f t="shared" si="41"/>
        <v>1.0208128533068297</v>
      </c>
      <c r="V139" s="7">
        <f t="shared" si="46"/>
        <v>6.9984727725411269E-2</v>
      </c>
      <c r="W139" s="7">
        <f t="shared" si="47"/>
        <v>0</v>
      </c>
      <c r="X139" s="8" t="s">
        <v>3</v>
      </c>
      <c r="Y139" s="7">
        <v>-0.45623446596919082</v>
      </c>
      <c r="Z139" s="7">
        <v>0.58762060875656319</v>
      </c>
      <c r="AC139" s="7">
        <f t="shared" si="48"/>
        <v>0.39227570293237868</v>
      </c>
      <c r="AD139" s="7">
        <f t="shared" si="49"/>
        <v>0.4331922445502665</v>
      </c>
      <c r="AE139" s="6" t="s">
        <v>3</v>
      </c>
      <c r="AF139" s="6" t="s">
        <v>3</v>
      </c>
      <c r="AG139" s="6" t="s">
        <v>3</v>
      </c>
      <c r="AH139" s="6" t="s">
        <v>3</v>
      </c>
      <c r="AI139" s="6" t="s">
        <v>3</v>
      </c>
      <c r="AJ139" s="6" t="s">
        <v>3</v>
      </c>
      <c r="AK139" s="5">
        <f t="shared" si="50"/>
        <v>271.14683521901208</v>
      </c>
      <c r="AL139" s="7">
        <f t="shared" si="51"/>
        <v>0.19534490582418451</v>
      </c>
      <c r="AM139" s="7">
        <f t="shared" si="52"/>
        <v>1.0208128533068297</v>
      </c>
    </row>
    <row r="140" spans="10:39" x14ac:dyDescent="0.25">
      <c r="J140" s="3">
        <v>134</v>
      </c>
      <c r="K140" s="7">
        <v>-0.45532480324720592</v>
      </c>
      <c r="L140" s="7">
        <f t="shared" si="42"/>
        <v>0.63872895356546899</v>
      </c>
      <c r="M140" s="7">
        <f t="shared" ca="1" si="37"/>
        <v>0.25221750730456294</v>
      </c>
      <c r="N140" s="7">
        <f t="shared" si="38"/>
        <v>-0.45532480324720592</v>
      </c>
      <c r="O140" s="7">
        <v>0.49724379618899694</v>
      </c>
      <c r="P140" s="7">
        <f t="shared" si="39"/>
        <v>0.58378485510418932</v>
      </c>
      <c r="Q140" s="7">
        <f t="shared" si="43"/>
        <v>8.654105891519237E-2</v>
      </c>
      <c r="R140" s="7">
        <f t="shared" si="40"/>
        <v>0.19135389792671642</v>
      </c>
      <c r="S140" s="7">
        <f t="shared" si="44"/>
        <v>-2.4471191860982441E-2</v>
      </c>
      <c r="T140" s="7">
        <f t="shared" si="45"/>
        <v>1</v>
      </c>
      <c r="U140" s="7">
        <f t="shared" si="41"/>
        <v>1.0170597762735343</v>
      </c>
      <c r="V140" s="7">
        <f t="shared" si="46"/>
        <v>4.938251810803105E-2</v>
      </c>
      <c r="W140" s="7">
        <f t="shared" si="47"/>
        <v>0</v>
      </c>
      <c r="X140" s="8" t="s">
        <v>3</v>
      </c>
      <c r="Y140" s="7">
        <v>-0.45532480324720592</v>
      </c>
      <c r="Z140" s="7">
        <v>0.58378485510418932</v>
      </c>
      <c r="AC140" s="7">
        <f t="shared" si="48"/>
        <v>0.39243095717747289</v>
      </c>
      <c r="AD140" s="7">
        <f t="shared" si="49"/>
        <v>0.43327492116934496</v>
      </c>
      <c r="AE140" s="6" t="s">
        <v>3</v>
      </c>
      <c r="AF140" s="6" t="s">
        <v>3</v>
      </c>
      <c r="AG140" s="6" t="s">
        <v>3</v>
      </c>
      <c r="AH140" s="6" t="s">
        <v>3</v>
      </c>
      <c r="AI140" s="6" t="s">
        <v>3</v>
      </c>
      <c r="AJ140" s="6" t="s">
        <v>3</v>
      </c>
      <c r="AK140" s="5">
        <f t="shared" si="50"/>
        <v>271.60405585664938</v>
      </c>
      <c r="AL140" s="7">
        <f t="shared" si="51"/>
        <v>0.19135389792671642</v>
      </c>
      <c r="AM140" s="7">
        <f t="shared" si="52"/>
        <v>1.0170597762735343</v>
      </c>
    </row>
    <row r="141" spans="10:39" x14ac:dyDescent="0.25">
      <c r="J141" s="3">
        <v>135</v>
      </c>
      <c r="K141" s="7">
        <v>-0.45521905003713892</v>
      </c>
      <c r="L141" s="7">
        <f t="shared" si="42"/>
        <v>0.63822330881986267</v>
      </c>
      <c r="M141" s="7">
        <f t="shared" ca="1" si="37"/>
        <v>0.84295254902609951</v>
      </c>
      <c r="N141" s="7">
        <f t="shared" si="38"/>
        <v>-0.45521905003713892</v>
      </c>
      <c r="O141" s="7">
        <v>0.50028677808315258</v>
      </c>
      <c r="P141" s="7">
        <f t="shared" si="39"/>
        <v>0.58334020399151099</v>
      </c>
      <c r="Q141" s="7">
        <f t="shared" si="43"/>
        <v>8.3053425908358403E-2</v>
      </c>
      <c r="R141" s="7">
        <f t="shared" si="40"/>
        <v>0.19089131195309728</v>
      </c>
      <c r="S141" s="7">
        <f t="shared" si="44"/>
        <v>-2.4751637290404426E-2</v>
      </c>
      <c r="T141" s="7">
        <f t="shared" si="45"/>
        <v>1</v>
      </c>
      <c r="U141" s="7">
        <f t="shared" si="41"/>
        <v>1.016624144869944</v>
      </c>
      <c r="V141" s="7">
        <f t="shared" si="46"/>
        <v>4.9052049844745184E-2</v>
      </c>
      <c r="W141" s="7">
        <f t="shared" si="47"/>
        <v>0</v>
      </c>
      <c r="X141" s="8" t="s">
        <v>3</v>
      </c>
      <c r="Y141" s="7">
        <v>-0.45521905003713892</v>
      </c>
      <c r="Z141" s="7">
        <v>0.58334020399151099</v>
      </c>
      <c r="AC141" s="7">
        <f t="shared" si="48"/>
        <v>0.39244889203841371</v>
      </c>
      <c r="AD141" s="7">
        <f t="shared" si="49"/>
        <v>0.43328394087843303</v>
      </c>
      <c r="AE141" s="6" t="s">
        <v>3</v>
      </c>
      <c r="AF141" s="6" t="s">
        <v>3</v>
      </c>
      <c r="AG141" s="6" t="s">
        <v>3</v>
      </c>
      <c r="AH141" s="6" t="s">
        <v>3</v>
      </c>
      <c r="AI141" s="6" t="s">
        <v>3</v>
      </c>
      <c r="AJ141" s="6" t="s">
        <v>3</v>
      </c>
      <c r="AK141" s="5">
        <f t="shared" si="50"/>
        <v>271.65721022801193</v>
      </c>
      <c r="AL141" s="7">
        <f t="shared" si="51"/>
        <v>0.19089131195309728</v>
      </c>
      <c r="AM141" s="7">
        <f t="shared" si="52"/>
        <v>1.016624144869944</v>
      </c>
    </row>
    <row r="142" spans="10:39" x14ac:dyDescent="0.25">
      <c r="J142" s="3">
        <v>136</v>
      </c>
      <c r="K142" s="7">
        <v>-0.45221506659650546</v>
      </c>
      <c r="L142" s="7">
        <f t="shared" si="42"/>
        <v>0.62394731566581507</v>
      </c>
      <c r="M142" s="7">
        <f t="shared" ca="1" si="37"/>
        <v>0.41730648010016197</v>
      </c>
      <c r="N142" s="7">
        <f t="shared" si="38"/>
        <v>-0.45221506659650546</v>
      </c>
      <c r="O142" s="7">
        <v>1.0150145105186823</v>
      </c>
      <c r="P142" s="7">
        <f t="shared" si="39"/>
        <v>0.5708203795244926</v>
      </c>
      <c r="Q142" s="7">
        <f t="shared" si="43"/>
        <v>-0.4441941309941897</v>
      </c>
      <c r="R142" s="7">
        <f t="shared" si="40"/>
        <v>0.17787206064832306</v>
      </c>
      <c r="S142" s="7">
        <f t="shared" si="44"/>
        <v>-6.6971395989628743E-2</v>
      </c>
      <c r="T142" s="7">
        <f t="shared" si="45"/>
        <v>1</v>
      </c>
      <c r="U142" s="7">
        <f t="shared" si="41"/>
        <v>1.0043094070374592</v>
      </c>
      <c r="V142" s="7">
        <f t="shared" si="46"/>
        <v>-9.6881186505069147E-3</v>
      </c>
      <c r="W142" s="7">
        <f t="shared" si="47"/>
        <v>1</v>
      </c>
      <c r="X142" s="8" t="s">
        <v>3</v>
      </c>
      <c r="Y142" s="7">
        <v>-0.45221506659650546</v>
      </c>
      <c r="Z142" s="7">
        <v>0.5708203795244926</v>
      </c>
      <c r="AC142" s="7">
        <f t="shared" si="48"/>
        <v>0.39294831887616954</v>
      </c>
      <c r="AD142" s="7">
        <f t="shared" si="49"/>
        <v>0.43348902751296658</v>
      </c>
      <c r="AE142" s="6" t="s">
        <v>3</v>
      </c>
      <c r="AF142" s="6" t="s">
        <v>3</v>
      </c>
      <c r="AG142" s="6" t="s">
        <v>3</v>
      </c>
      <c r="AH142" s="6" t="s">
        <v>3</v>
      </c>
      <c r="AI142" s="6" t="s">
        <v>3</v>
      </c>
      <c r="AJ142" s="6" t="s">
        <v>3</v>
      </c>
      <c r="AK142" s="5">
        <f t="shared" si="50"/>
        <v>273.16709206771333</v>
      </c>
      <c r="AL142" s="7">
        <f t="shared" si="51"/>
        <v>0.17787206064832306</v>
      </c>
      <c r="AM142" s="7">
        <f t="shared" si="52"/>
        <v>1.0043094070374592</v>
      </c>
    </row>
    <row r="143" spans="10:39" x14ac:dyDescent="0.25">
      <c r="J143" s="3">
        <v>137</v>
      </c>
      <c r="K143" s="7">
        <v>-0.44943952121628028</v>
      </c>
      <c r="L143" s="7">
        <f t="shared" si="42"/>
        <v>0.61090779061606015</v>
      </c>
      <c r="M143" s="7">
        <f t="shared" ca="1" si="37"/>
        <v>0.58807623110663265</v>
      </c>
      <c r="N143" s="7">
        <f t="shared" si="38"/>
        <v>-0.44943952121628028</v>
      </c>
      <c r="O143" s="7">
        <v>0.21129277004103741</v>
      </c>
      <c r="P143" s="7">
        <f t="shared" si="39"/>
        <v>0.55944215388928242</v>
      </c>
      <c r="Q143" s="7">
        <f t="shared" si="43"/>
        <v>0.34814938384824501</v>
      </c>
      <c r="R143" s="7">
        <f t="shared" si="40"/>
        <v>0.16604979257979835</v>
      </c>
      <c r="S143" s="7">
        <f t="shared" si="44"/>
        <v>-3.619438196899125E-3</v>
      </c>
      <c r="T143" s="7">
        <f t="shared" si="45"/>
        <v>1</v>
      </c>
      <c r="U143" s="7">
        <f t="shared" si="41"/>
        <v>0.99303383688020497</v>
      </c>
      <c r="V143" s="7">
        <f t="shared" si="46"/>
        <v>7.4265401349720914E-2</v>
      </c>
      <c r="W143" s="7">
        <f t="shared" si="47"/>
        <v>0</v>
      </c>
      <c r="X143" s="8" t="s">
        <v>3</v>
      </c>
      <c r="Y143" s="7">
        <v>-0.44943952121628028</v>
      </c>
      <c r="Z143" s="7">
        <v>0.55944215388928242</v>
      </c>
      <c r="AC143" s="7">
        <f t="shared" si="48"/>
        <v>0.39339236130948407</v>
      </c>
      <c r="AD143" s="7">
        <f t="shared" si="49"/>
        <v>0.43359168299092254</v>
      </c>
      <c r="AE143" s="6" t="s">
        <v>3</v>
      </c>
      <c r="AF143" s="6" t="s">
        <v>3</v>
      </c>
      <c r="AG143" s="6" t="s">
        <v>3</v>
      </c>
      <c r="AH143" s="6" t="s">
        <v>3</v>
      </c>
      <c r="AI143" s="6" t="s">
        <v>3</v>
      </c>
      <c r="AJ143" s="6" t="s">
        <v>3</v>
      </c>
      <c r="AK143" s="5">
        <f t="shared" si="50"/>
        <v>274.5621548727151</v>
      </c>
      <c r="AL143" s="7">
        <f t="shared" si="51"/>
        <v>0.16604979257979835</v>
      </c>
      <c r="AM143" s="7">
        <f t="shared" si="52"/>
        <v>0.99303383688020497</v>
      </c>
    </row>
    <row r="144" spans="10:39" x14ac:dyDescent="0.25">
      <c r="J144" s="3">
        <v>138</v>
      </c>
      <c r="K144" s="7">
        <v>-0.44381287923213519</v>
      </c>
      <c r="L144" s="7">
        <f t="shared" si="42"/>
        <v>0.58492478879183252</v>
      </c>
      <c r="M144" s="7">
        <f t="shared" ca="1" si="37"/>
        <v>0.14283097829401831</v>
      </c>
      <c r="N144" s="7">
        <f t="shared" si="38"/>
        <v>-0.44381287923213519</v>
      </c>
      <c r="O144" s="7">
        <v>0.79457665499899033</v>
      </c>
      <c r="P144" s="7">
        <f t="shared" si="39"/>
        <v>0.5369303081671486</v>
      </c>
      <c r="Q144" s="7">
        <f t="shared" si="43"/>
        <v>-0.25764634683184173</v>
      </c>
      <c r="R144" s="7">
        <f t="shared" si="40"/>
        <v>0.14269005480878771</v>
      </c>
      <c r="S144" s="7">
        <f t="shared" si="44"/>
        <v>-5.2150928015216209E-2</v>
      </c>
      <c r="T144" s="7">
        <f t="shared" si="45"/>
        <v>1</v>
      </c>
      <c r="U144" s="7">
        <f t="shared" si="41"/>
        <v>0.97047991020699009</v>
      </c>
      <c r="V144" s="7">
        <f t="shared" si="46"/>
        <v>1.6710809244759976E-2</v>
      </c>
      <c r="W144" s="7">
        <f t="shared" si="47"/>
        <v>0</v>
      </c>
      <c r="X144" s="8" t="s">
        <v>3</v>
      </c>
      <c r="Y144" s="7">
        <v>-0.44381287923213519</v>
      </c>
      <c r="Z144" s="7">
        <v>0.5369303081671486</v>
      </c>
      <c r="AC144" s="7">
        <f t="shared" si="48"/>
        <v>0.39424025335836088</v>
      </c>
      <c r="AD144" s="7">
        <f t="shared" si="49"/>
        <v>0.4335496020398415</v>
      </c>
      <c r="AE144" s="6" t="s">
        <v>3</v>
      </c>
      <c r="AF144" s="6" t="s">
        <v>3</v>
      </c>
      <c r="AG144" s="6" t="s">
        <v>3</v>
      </c>
      <c r="AH144" s="6" t="s">
        <v>3</v>
      </c>
      <c r="AI144" s="6" t="s">
        <v>3</v>
      </c>
      <c r="AJ144" s="6" t="s">
        <v>3</v>
      </c>
      <c r="AK144" s="5">
        <f t="shared" si="50"/>
        <v>277.39025453380071</v>
      </c>
      <c r="AL144" s="7">
        <f t="shared" si="51"/>
        <v>0.14269005480878771</v>
      </c>
      <c r="AM144" s="7">
        <f t="shared" si="52"/>
        <v>0.97047991020699009</v>
      </c>
    </row>
    <row r="145" spans="10:39" x14ac:dyDescent="0.25">
      <c r="J145" s="3">
        <v>139</v>
      </c>
      <c r="K145" s="7">
        <v>-0.44292966667758282</v>
      </c>
      <c r="L145" s="7">
        <f t="shared" si="42"/>
        <v>0.58090168238061068</v>
      </c>
      <c r="M145" s="7">
        <f t="shared" ca="1" si="37"/>
        <v>0.527825812622291</v>
      </c>
      <c r="N145" s="7">
        <f t="shared" si="38"/>
        <v>-0.44292966667758282</v>
      </c>
      <c r="O145" s="7">
        <v>0.72622665115066298</v>
      </c>
      <c r="P145" s="7">
        <f t="shared" si="39"/>
        <v>0.53346357981470849</v>
      </c>
      <c r="Q145" s="7">
        <f t="shared" si="43"/>
        <v>-0.19276307133595449</v>
      </c>
      <c r="R145" s="7">
        <f t="shared" si="40"/>
        <v>0.13909667639873957</v>
      </c>
      <c r="S145" s="7">
        <f t="shared" si="44"/>
        <v>-4.6970397980153872E-2</v>
      </c>
      <c r="T145" s="7">
        <f t="shared" si="45"/>
        <v>1</v>
      </c>
      <c r="U145" s="7">
        <f t="shared" si="41"/>
        <v>0.96697674445968596</v>
      </c>
      <c r="V145" s="7">
        <f t="shared" si="46"/>
        <v>2.2871258864357182E-2</v>
      </c>
      <c r="W145" s="7">
        <f t="shared" si="47"/>
        <v>0</v>
      </c>
      <c r="X145" s="8" t="s">
        <v>3</v>
      </c>
      <c r="Y145" s="7">
        <v>-0.44292966667758282</v>
      </c>
      <c r="Z145" s="7">
        <v>0.53346357981470849</v>
      </c>
      <c r="AC145" s="7">
        <f t="shared" si="48"/>
        <v>0.39436690341596892</v>
      </c>
      <c r="AD145" s="7">
        <f t="shared" si="49"/>
        <v>0.43351316464497747</v>
      </c>
      <c r="AE145" s="6" t="s">
        <v>3</v>
      </c>
      <c r="AF145" s="6" t="s">
        <v>3</v>
      </c>
      <c r="AG145" s="6" t="s">
        <v>3</v>
      </c>
      <c r="AH145" s="6" t="s">
        <v>3</v>
      </c>
      <c r="AI145" s="6" t="s">
        <v>3</v>
      </c>
      <c r="AJ145" s="6" t="s">
        <v>3</v>
      </c>
      <c r="AK145" s="5">
        <f t="shared" si="50"/>
        <v>277.83418061497565</v>
      </c>
      <c r="AL145" s="7">
        <f t="shared" si="51"/>
        <v>0.13909667639873957</v>
      </c>
      <c r="AM145" s="7">
        <f t="shared" si="52"/>
        <v>0.96697674445968596</v>
      </c>
    </row>
    <row r="146" spans="10:39" x14ac:dyDescent="0.25">
      <c r="J146" s="3">
        <v>140</v>
      </c>
      <c r="K146" s="7">
        <v>-0.44259147832082091</v>
      </c>
      <c r="L146" s="7">
        <f t="shared" si="42"/>
        <v>0.57936521872254454</v>
      </c>
      <c r="M146" s="7">
        <f t="shared" ca="1" si="37"/>
        <v>0.77964991675526063</v>
      </c>
      <c r="N146" s="7">
        <f t="shared" si="38"/>
        <v>-0.44259147832082091</v>
      </c>
      <c r="O146" s="7">
        <v>0.94819005741019513</v>
      </c>
      <c r="P146" s="7">
        <f t="shared" si="39"/>
        <v>0.532140928376589</v>
      </c>
      <c r="Q146" s="7">
        <f t="shared" si="43"/>
        <v>-0.41604912903360614</v>
      </c>
      <c r="R146" s="7">
        <f t="shared" si="40"/>
        <v>0.13772599668597341</v>
      </c>
      <c r="S146" s="7">
        <f t="shared" si="44"/>
        <v>-6.4837124857937745E-2</v>
      </c>
      <c r="T146" s="7">
        <f t="shared" si="45"/>
        <v>1</v>
      </c>
      <c r="U146" s="7">
        <f t="shared" si="41"/>
        <v>0.96563803027769812</v>
      </c>
      <c r="V146" s="7">
        <f t="shared" si="46"/>
        <v>1.6575574224127843E-3</v>
      </c>
      <c r="W146" s="7">
        <f t="shared" si="47"/>
        <v>0</v>
      </c>
      <c r="X146" s="8" t="s">
        <v>3</v>
      </c>
      <c r="Y146" s="7">
        <v>-0.44259147832082091</v>
      </c>
      <c r="Z146" s="7">
        <v>0.532140928376589</v>
      </c>
      <c r="AC146" s="7">
        <f t="shared" si="48"/>
        <v>0.39441493169061559</v>
      </c>
      <c r="AD146" s="7">
        <f t="shared" si="49"/>
        <v>0.43349710190110913</v>
      </c>
      <c r="AE146" s="6" t="s">
        <v>3</v>
      </c>
      <c r="AF146" s="6" t="s">
        <v>3</v>
      </c>
      <c r="AG146" s="6" t="s">
        <v>3</v>
      </c>
      <c r="AH146" s="6" t="s">
        <v>3</v>
      </c>
      <c r="AI146" s="6" t="s">
        <v>3</v>
      </c>
      <c r="AJ146" s="6" t="s">
        <v>3</v>
      </c>
      <c r="AK146" s="5">
        <f t="shared" si="50"/>
        <v>278.00416306273701</v>
      </c>
      <c r="AL146" s="7">
        <f t="shared" si="51"/>
        <v>0.13772599668597341</v>
      </c>
      <c r="AM146" s="7">
        <f t="shared" si="52"/>
        <v>0.96563803027769812</v>
      </c>
    </row>
    <row r="147" spans="10:39" x14ac:dyDescent="0.25">
      <c r="J147" s="3">
        <v>141</v>
      </c>
      <c r="K147" s="7">
        <v>-0.44255705762845454</v>
      </c>
      <c r="L147" s="7">
        <f t="shared" si="42"/>
        <v>0.57920896273260214</v>
      </c>
      <c r="M147" s="7">
        <f t="shared" ca="1" si="37"/>
        <v>0.58096817026040859</v>
      </c>
      <c r="N147" s="7">
        <f t="shared" si="38"/>
        <v>-0.44255705762845454</v>
      </c>
      <c r="O147" s="7">
        <v>0.26778747255380947</v>
      </c>
      <c r="P147" s="7">
        <f t="shared" si="39"/>
        <v>0.53200645774419808</v>
      </c>
      <c r="Q147" s="7">
        <f t="shared" si="43"/>
        <v>0.26421898519038861</v>
      </c>
      <c r="R147" s="7">
        <f t="shared" si="40"/>
        <v>0.13758665227165734</v>
      </c>
      <c r="S147" s="7">
        <f t="shared" si="44"/>
        <v>-1.0416065622572171E-2</v>
      </c>
      <c r="T147" s="7">
        <f t="shared" si="45"/>
        <v>1</v>
      </c>
      <c r="U147" s="7">
        <f t="shared" si="41"/>
        <v>0.96550185944101607</v>
      </c>
      <c r="V147" s="7">
        <f t="shared" si="46"/>
        <v>6.6282866754284631E-2</v>
      </c>
      <c r="W147" s="7">
        <f t="shared" si="47"/>
        <v>0</v>
      </c>
      <c r="X147" s="8" t="s">
        <v>3</v>
      </c>
      <c r="Y147" s="7">
        <v>-0.44255705762845454</v>
      </c>
      <c r="Z147" s="7">
        <v>0.53200645774419808</v>
      </c>
      <c r="AC147" s="7">
        <f t="shared" si="48"/>
        <v>0.39441980547254074</v>
      </c>
      <c r="AD147" s="7">
        <f t="shared" si="49"/>
        <v>0.43349540169681799</v>
      </c>
      <c r="AE147" s="6" t="s">
        <v>3</v>
      </c>
      <c r="AF147" s="6" t="s">
        <v>3</v>
      </c>
      <c r="AG147" s="6" t="s">
        <v>3</v>
      </c>
      <c r="AH147" s="6" t="s">
        <v>3</v>
      </c>
      <c r="AI147" s="6" t="s">
        <v>3</v>
      </c>
      <c r="AJ147" s="6" t="s">
        <v>3</v>
      </c>
      <c r="AK147" s="5">
        <f t="shared" si="50"/>
        <v>278.0214638166662</v>
      </c>
      <c r="AL147" s="7">
        <f t="shared" si="51"/>
        <v>0.13758665227165734</v>
      </c>
      <c r="AM147" s="7">
        <f t="shared" si="52"/>
        <v>0.96550185944101607</v>
      </c>
    </row>
    <row r="148" spans="10:39" x14ac:dyDescent="0.25">
      <c r="J148" s="3">
        <v>142</v>
      </c>
      <c r="K148" s="7">
        <v>-0.43941688967585191</v>
      </c>
      <c r="L148" s="7">
        <f t="shared" si="42"/>
        <v>0.56505117000921967</v>
      </c>
      <c r="M148" s="7">
        <f t="shared" ca="1" si="37"/>
        <v>0.67669610593438034</v>
      </c>
      <c r="N148" s="7">
        <f t="shared" si="38"/>
        <v>-0.43941688967585191</v>
      </c>
      <c r="O148" s="7">
        <v>0.65747187950054709</v>
      </c>
      <c r="P148" s="7">
        <f t="shared" si="39"/>
        <v>0.51985379532990361</v>
      </c>
      <c r="Q148" s="7">
        <f t="shared" si="43"/>
        <v>-0.13761808417064347</v>
      </c>
      <c r="R148" s="7">
        <f t="shared" si="40"/>
        <v>0.12500068732821656</v>
      </c>
      <c r="S148" s="7">
        <f t="shared" si="44"/>
        <v>-4.2597695373786444E-2</v>
      </c>
      <c r="T148" s="7">
        <f t="shared" si="45"/>
        <v>1</v>
      </c>
      <c r="U148" s="7">
        <f t="shared" si="41"/>
        <v>0.95314371733219683</v>
      </c>
      <c r="V148" s="7">
        <f t="shared" si="46"/>
        <v>2.8088824594006724E-2</v>
      </c>
      <c r="W148" s="7">
        <f t="shared" si="47"/>
        <v>0</v>
      </c>
      <c r="X148" s="8" t="s">
        <v>3</v>
      </c>
      <c r="Y148" s="7">
        <v>-0.43941688967585191</v>
      </c>
      <c r="Z148" s="7">
        <v>0.51985379532990361</v>
      </c>
      <c r="AC148" s="7">
        <f t="shared" si="48"/>
        <v>0.39485310800168705</v>
      </c>
      <c r="AD148" s="7">
        <f t="shared" si="49"/>
        <v>0.43328992200229322</v>
      </c>
      <c r="AE148" s="6" t="s">
        <v>3</v>
      </c>
      <c r="AF148" s="6" t="s">
        <v>3</v>
      </c>
      <c r="AG148" s="6" t="s">
        <v>3</v>
      </c>
      <c r="AH148" s="6" t="s">
        <v>3</v>
      </c>
      <c r="AI148" s="6" t="s">
        <v>3</v>
      </c>
      <c r="AJ148" s="6" t="s">
        <v>3</v>
      </c>
      <c r="AK148" s="5">
        <f t="shared" si="50"/>
        <v>279.59979560808489</v>
      </c>
      <c r="AL148" s="7">
        <f t="shared" si="51"/>
        <v>0.12500068732821656</v>
      </c>
      <c r="AM148" s="7">
        <f t="shared" si="52"/>
        <v>0.95314371733219683</v>
      </c>
    </row>
    <row r="149" spans="10:39" x14ac:dyDescent="0.25">
      <c r="J149" s="3">
        <v>143</v>
      </c>
      <c r="K149" s="7">
        <v>-0.43411685803292754</v>
      </c>
      <c r="L149" s="7">
        <f t="shared" si="42"/>
        <v>0.54159545821944144</v>
      </c>
      <c r="M149" s="7">
        <f t="shared" ca="1" si="37"/>
        <v>0.7569836864985835</v>
      </c>
      <c r="N149" s="7">
        <f t="shared" si="38"/>
        <v>-0.43411685803292754</v>
      </c>
      <c r="O149" s="7">
        <v>0.45153671227442899</v>
      </c>
      <c r="P149" s="7">
        <f t="shared" si="39"/>
        <v>0.49985423221791692</v>
      </c>
      <c r="Q149" s="7">
        <f t="shared" si="43"/>
        <v>4.831751994348793E-2</v>
      </c>
      <c r="R149" s="7">
        <f t="shared" si="40"/>
        <v>0.10432103173638829</v>
      </c>
      <c r="S149" s="7">
        <f t="shared" si="44"/>
        <v>-2.7777254443043256E-2</v>
      </c>
      <c r="T149" s="7">
        <f t="shared" si="45"/>
        <v>1</v>
      </c>
      <c r="U149" s="7">
        <f t="shared" si="41"/>
        <v>0.93257593572421649</v>
      </c>
      <c r="V149" s="7">
        <f t="shared" si="46"/>
        <v>4.5698726227729816E-2</v>
      </c>
      <c r="W149" s="7">
        <f t="shared" si="47"/>
        <v>0</v>
      </c>
      <c r="X149" s="8" t="s">
        <v>3</v>
      </c>
      <c r="Y149" s="7">
        <v>-0.43411685803292754</v>
      </c>
      <c r="Z149" s="7">
        <v>0.49985423221791692</v>
      </c>
      <c r="AC149" s="7">
        <f t="shared" si="48"/>
        <v>0.39553320048152862</v>
      </c>
      <c r="AD149" s="7">
        <f t="shared" si="49"/>
        <v>0.43272170350629957</v>
      </c>
      <c r="AE149" s="6" t="s">
        <v>3</v>
      </c>
      <c r="AF149" s="6" t="s">
        <v>3</v>
      </c>
      <c r="AG149" s="6" t="s">
        <v>3</v>
      </c>
      <c r="AH149" s="6" t="s">
        <v>3</v>
      </c>
      <c r="AI149" s="6" t="s">
        <v>3</v>
      </c>
      <c r="AJ149" s="6" t="s">
        <v>3</v>
      </c>
      <c r="AK149" s="5">
        <f t="shared" si="50"/>
        <v>282.26373223944222</v>
      </c>
      <c r="AL149" s="7">
        <f t="shared" si="51"/>
        <v>0.10432103173638829</v>
      </c>
      <c r="AM149" s="7">
        <f t="shared" si="52"/>
        <v>0.93257593572421649</v>
      </c>
    </row>
    <row r="150" spans="10:39" x14ac:dyDescent="0.25">
      <c r="J150" s="3">
        <v>144</v>
      </c>
      <c r="K150" s="7">
        <v>-0.43297452649361312</v>
      </c>
      <c r="L150" s="7">
        <f t="shared" si="42"/>
        <v>0.536612976465908</v>
      </c>
      <c r="M150" s="7">
        <f t="shared" ca="1" si="37"/>
        <v>0.34414714434766208</v>
      </c>
      <c r="N150" s="7">
        <f t="shared" si="38"/>
        <v>-0.43297452649361312</v>
      </c>
      <c r="O150" s="7">
        <v>0.29956704462551825</v>
      </c>
      <c r="P150" s="7">
        <f t="shared" si="39"/>
        <v>0.49562710660014098</v>
      </c>
      <c r="Q150" s="7">
        <f t="shared" si="43"/>
        <v>0.19606006197462272</v>
      </c>
      <c r="R150" s="7">
        <f t="shared" si="40"/>
        <v>9.9955819387389511E-2</v>
      </c>
      <c r="S150" s="7">
        <f t="shared" si="44"/>
        <v>-1.5968898019050298E-2</v>
      </c>
      <c r="T150" s="7">
        <f t="shared" si="45"/>
        <v>1</v>
      </c>
      <c r="U150" s="7">
        <f t="shared" si="41"/>
        <v>0.92819079717918762</v>
      </c>
      <c r="V150" s="7">
        <f t="shared" si="46"/>
        <v>5.9719256492598585E-2</v>
      </c>
      <c r="W150" s="7">
        <f t="shared" si="47"/>
        <v>0</v>
      </c>
      <c r="X150" s="8" t="s">
        <v>3</v>
      </c>
      <c r="Y150" s="7">
        <v>-0.43297452649361312</v>
      </c>
      <c r="Z150" s="7">
        <v>0.49562710660014098</v>
      </c>
      <c r="AC150" s="7">
        <f t="shared" si="48"/>
        <v>0.39567128721275147</v>
      </c>
      <c r="AD150" s="7">
        <f t="shared" si="49"/>
        <v>0.43256369057904664</v>
      </c>
      <c r="AE150" s="6" t="s">
        <v>3</v>
      </c>
      <c r="AF150" s="6" t="s">
        <v>3</v>
      </c>
      <c r="AG150" s="6" t="s">
        <v>3</v>
      </c>
      <c r="AH150" s="6" t="s">
        <v>3</v>
      </c>
      <c r="AI150" s="6" t="s">
        <v>3</v>
      </c>
      <c r="AJ150" s="6" t="s">
        <v>3</v>
      </c>
      <c r="AK150" s="5">
        <f t="shared" si="50"/>
        <v>282.83789840254377</v>
      </c>
      <c r="AL150" s="7">
        <f t="shared" si="51"/>
        <v>9.9955819387389511E-2</v>
      </c>
      <c r="AM150" s="7">
        <f t="shared" si="52"/>
        <v>0.92819079717918762</v>
      </c>
    </row>
    <row r="151" spans="10:39" x14ac:dyDescent="0.25">
      <c r="J151" s="3">
        <v>145</v>
      </c>
      <c r="K151" s="7">
        <v>-0.43006163242962159</v>
      </c>
      <c r="L151" s="7">
        <f t="shared" si="42"/>
        <v>0.52402589389421417</v>
      </c>
      <c r="M151" s="7">
        <f t="shared" ca="1" si="37"/>
        <v>0.85829607217479253</v>
      </c>
      <c r="N151" s="7">
        <f t="shared" si="38"/>
        <v>-0.43006163242962159</v>
      </c>
      <c r="O151" s="7">
        <v>0.57643337268562334</v>
      </c>
      <c r="P151" s="7">
        <f t="shared" si="39"/>
        <v>0.48498076494857001</v>
      </c>
      <c r="Q151" s="7">
        <f t="shared" si="43"/>
        <v>-9.1452607737053326E-2</v>
      </c>
      <c r="R151" s="7">
        <f t="shared" si="40"/>
        <v>8.8971079911861928E-2</v>
      </c>
      <c r="S151" s="7">
        <f t="shared" si="44"/>
        <v>-3.8996983421900916E-2</v>
      </c>
      <c r="T151" s="7">
        <f t="shared" si="45"/>
        <v>1</v>
      </c>
      <c r="U151" s="7">
        <f t="shared" si="41"/>
        <v>0.91708589867922075</v>
      </c>
      <c r="V151" s="7">
        <f t="shared" si="46"/>
        <v>3.2361989969391755E-2</v>
      </c>
      <c r="W151" s="7">
        <f t="shared" si="47"/>
        <v>0</v>
      </c>
      <c r="X151" s="8" t="s">
        <v>3</v>
      </c>
      <c r="Y151" s="7">
        <v>-0.43006163242962159</v>
      </c>
      <c r="Z151" s="7">
        <v>0.48498076494857001</v>
      </c>
      <c r="AC151" s="7">
        <f t="shared" si="48"/>
        <v>0.39600968503670808</v>
      </c>
      <c r="AD151" s="7">
        <f t="shared" si="49"/>
        <v>0.43210513373065074</v>
      </c>
      <c r="AE151" s="6" t="s">
        <v>3</v>
      </c>
      <c r="AF151" s="6" t="s">
        <v>3</v>
      </c>
      <c r="AG151" s="6" t="s">
        <v>3</v>
      </c>
      <c r="AH151" s="6" t="s">
        <v>3</v>
      </c>
      <c r="AI151" s="6" t="s">
        <v>3</v>
      </c>
      <c r="AJ151" s="6" t="s">
        <v>3</v>
      </c>
      <c r="AK151" s="5">
        <f t="shared" si="50"/>
        <v>284.30199630291946</v>
      </c>
      <c r="AL151" s="7">
        <f t="shared" si="51"/>
        <v>8.8971079911861928E-2</v>
      </c>
      <c r="AM151" s="7">
        <f t="shared" si="52"/>
        <v>0.91708589867922075</v>
      </c>
    </row>
    <row r="152" spans="10:39" x14ac:dyDescent="0.25">
      <c r="J152" s="3">
        <v>146</v>
      </c>
      <c r="K152" s="7">
        <v>-0.42992447518096233</v>
      </c>
      <c r="L152" s="7">
        <f t="shared" si="42"/>
        <v>0.5234374076719609</v>
      </c>
      <c r="M152" s="7">
        <f t="shared" ca="1" si="37"/>
        <v>0.3207558713802886</v>
      </c>
      <c r="N152" s="7">
        <f t="shared" si="38"/>
        <v>-0.42992447518096233</v>
      </c>
      <c r="O152" s="7">
        <v>0.52123388490855027</v>
      </c>
      <c r="P152" s="7">
        <f t="shared" si="39"/>
        <v>0.48448414479839919</v>
      </c>
      <c r="Q152" s="7">
        <f t="shared" si="43"/>
        <v>-3.6749740110151086E-2</v>
      </c>
      <c r="R152" s="7">
        <f t="shared" si="40"/>
        <v>8.8459012701467721E-2</v>
      </c>
      <c r="S152" s="7">
        <f t="shared" si="44"/>
        <v>-3.4621989776566602E-2</v>
      </c>
      <c r="T152" s="7">
        <f t="shared" si="45"/>
        <v>1</v>
      </c>
      <c r="U152" s="7">
        <f t="shared" si="41"/>
        <v>0.91656573957774357</v>
      </c>
      <c r="V152" s="7">
        <f t="shared" si="46"/>
        <v>3.7556526193573365E-2</v>
      </c>
      <c r="W152" s="7">
        <f t="shared" si="47"/>
        <v>0</v>
      </c>
      <c r="X152" s="8" t="s">
        <v>3</v>
      </c>
      <c r="Y152" s="7">
        <v>-0.42992447518096233</v>
      </c>
      <c r="Z152" s="7">
        <v>0.48448414479839919</v>
      </c>
      <c r="AC152" s="7">
        <f t="shared" si="48"/>
        <v>0.39602513209693146</v>
      </c>
      <c r="AD152" s="7">
        <f t="shared" si="49"/>
        <v>0.43208159477934438</v>
      </c>
      <c r="AE152" s="6" t="s">
        <v>3</v>
      </c>
      <c r="AF152" s="6" t="s">
        <v>3</v>
      </c>
      <c r="AG152" s="6" t="s">
        <v>3</v>
      </c>
      <c r="AH152" s="6" t="s">
        <v>3</v>
      </c>
      <c r="AI152" s="6" t="s">
        <v>3</v>
      </c>
      <c r="AJ152" s="6" t="s">
        <v>3</v>
      </c>
      <c r="AK152" s="5">
        <f t="shared" si="50"/>
        <v>284.3709351779255</v>
      </c>
      <c r="AL152" s="7">
        <f t="shared" si="51"/>
        <v>8.8459012701467721E-2</v>
      </c>
      <c r="AM152" s="7">
        <f t="shared" si="52"/>
        <v>0.91656573957774357</v>
      </c>
    </row>
    <row r="153" spans="10:39" x14ac:dyDescent="0.25">
      <c r="J153" s="3">
        <v>147</v>
      </c>
      <c r="K153" s="7">
        <v>-0.4211358811806063</v>
      </c>
      <c r="L153" s="7">
        <f t="shared" si="42"/>
        <v>0.4865211224085873</v>
      </c>
      <c r="M153" s="7">
        <f t="shared" ca="1" si="37"/>
        <v>0.66074176240450599</v>
      </c>
      <c r="N153" s="7">
        <f t="shared" si="38"/>
        <v>-0.4211358811806063</v>
      </c>
      <c r="O153" s="7">
        <v>0.69745026254042952</v>
      </c>
      <c r="P153" s="7">
        <f t="shared" si="39"/>
        <v>0.45352739850200186</v>
      </c>
      <c r="Q153" s="7">
        <f t="shared" si="43"/>
        <v>-0.24392286403842767</v>
      </c>
      <c r="R153" s="7">
        <f t="shared" si="40"/>
        <v>5.6604130851889423E-2</v>
      </c>
      <c r="S153" s="7">
        <f t="shared" si="44"/>
        <v>-5.1267690535083212E-2</v>
      </c>
      <c r="T153" s="7">
        <f t="shared" si="45"/>
        <v>1</v>
      </c>
      <c r="U153" s="7">
        <f t="shared" si="41"/>
        <v>0.88374795507353121</v>
      </c>
      <c r="V153" s="7">
        <f t="shared" si="46"/>
        <v>1.7698280790644661E-2</v>
      </c>
      <c r="W153" s="7">
        <f t="shared" si="47"/>
        <v>0</v>
      </c>
      <c r="X153" s="8" t="s">
        <v>3</v>
      </c>
      <c r="Y153" s="7">
        <v>-0.4211358811806063</v>
      </c>
      <c r="Z153" s="7">
        <v>0.45352739850200186</v>
      </c>
      <c r="AC153" s="7">
        <f t="shared" si="48"/>
        <v>0.39692326765011243</v>
      </c>
      <c r="AD153" s="7">
        <f t="shared" si="49"/>
        <v>0.43022055657152936</v>
      </c>
      <c r="AE153" s="6" t="s">
        <v>3</v>
      </c>
      <c r="AF153" s="6" t="s">
        <v>3</v>
      </c>
      <c r="AG153" s="6" t="s">
        <v>3</v>
      </c>
      <c r="AH153" s="6" t="s">
        <v>3</v>
      </c>
      <c r="AI153" s="6" t="s">
        <v>3</v>
      </c>
      <c r="AJ153" s="6" t="s">
        <v>3</v>
      </c>
      <c r="AK153" s="5">
        <f t="shared" si="50"/>
        <v>288.78831587921457</v>
      </c>
      <c r="AL153" s="7">
        <f t="shared" si="51"/>
        <v>5.6604130851889423E-2</v>
      </c>
      <c r="AM153" s="7">
        <f t="shared" si="52"/>
        <v>0.88374795507353121</v>
      </c>
    </row>
    <row r="154" spans="10:39" x14ac:dyDescent="0.25">
      <c r="J154" s="3">
        <v>148</v>
      </c>
      <c r="K154" s="7">
        <v>-0.41892876613938679</v>
      </c>
      <c r="L154" s="7">
        <f t="shared" si="42"/>
        <v>0.47749670577595149</v>
      </c>
      <c r="M154" s="7">
        <f t="shared" ca="1" si="37"/>
        <v>0.69967021373141258</v>
      </c>
      <c r="N154" s="7">
        <f t="shared" si="38"/>
        <v>-0.41892876613938679</v>
      </c>
      <c r="O154" s="7">
        <v>0.49165323119182147</v>
      </c>
      <c r="P154" s="7">
        <f t="shared" si="39"/>
        <v>0.44601716168686822</v>
      </c>
      <c r="Q154" s="7">
        <f t="shared" si="43"/>
        <v>-4.5636069504953247E-2</v>
      </c>
      <c r="R154" s="7">
        <f t="shared" si="40"/>
        <v>4.8896757257376855E-2</v>
      </c>
      <c r="S154" s="7">
        <f t="shared" si="44"/>
        <v>-3.5420517914755568E-2</v>
      </c>
      <c r="T154" s="7">
        <f t="shared" si="45"/>
        <v>1</v>
      </c>
      <c r="U154" s="7">
        <f t="shared" si="41"/>
        <v>0.87566489602182052</v>
      </c>
      <c r="V154" s="7">
        <f t="shared" si="46"/>
        <v>3.6481108158849911E-2</v>
      </c>
      <c r="W154" s="7">
        <f t="shared" si="47"/>
        <v>0</v>
      </c>
      <c r="X154" s="8" t="s">
        <v>3</v>
      </c>
      <c r="Y154" s="7">
        <v>-0.41892876613938679</v>
      </c>
      <c r="Z154" s="7">
        <v>0.44601716168686822</v>
      </c>
      <c r="AC154" s="7">
        <f t="shared" si="48"/>
        <v>0.39712040442949137</v>
      </c>
      <c r="AD154" s="7">
        <f t="shared" si="49"/>
        <v>0.42964773433495229</v>
      </c>
      <c r="AE154" s="6" t="s">
        <v>3</v>
      </c>
      <c r="AF154" s="6" t="s">
        <v>3</v>
      </c>
      <c r="AG154" s="6" t="s">
        <v>3</v>
      </c>
      <c r="AH154" s="6" t="s">
        <v>3</v>
      </c>
      <c r="AI154" s="6" t="s">
        <v>3</v>
      </c>
      <c r="AJ154" s="6" t="s">
        <v>3</v>
      </c>
      <c r="AK154" s="5">
        <f t="shared" si="50"/>
        <v>289.89767050274287</v>
      </c>
      <c r="AL154" s="7">
        <f t="shared" si="51"/>
        <v>4.8896757257376855E-2</v>
      </c>
      <c r="AM154" s="7">
        <f t="shared" si="52"/>
        <v>0.87566489602182052</v>
      </c>
    </row>
    <row r="155" spans="10:39" x14ac:dyDescent="0.25">
      <c r="J155" s="3">
        <v>149</v>
      </c>
      <c r="K155" s="7">
        <v>-0.41859261717684881</v>
      </c>
      <c r="L155" s="7">
        <f t="shared" si="42"/>
        <v>0.47613099634236489</v>
      </c>
      <c r="M155" s="7">
        <f t="shared" ca="1" si="37"/>
        <v>0.45746069035442122</v>
      </c>
      <c r="N155" s="7">
        <f t="shared" si="38"/>
        <v>-0.41859261717684881</v>
      </c>
      <c r="O155" s="7">
        <v>0.4915826624147025</v>
      </c>
      <c r="P155" s="7">
        <f t="shared" si="39"/>
        <v>0.44488250415034925</v>
      </c>
      <c r="Q155" s="7">
        <f t="shared" si="43"/>
        <v>-4.6700158264353253E-2</v>
      </c>
      <c r="R155" s="7">
        <f t="shared" si="40"/>
        <v>4.7733076940535746E-2</v>
      </c>
      <c r="S155" s="7">
        <f t="shared" si="44"/>
        <v>-3.5507966837933343E-2</v>
      </c>
      <c r="T155" s="7">
        <f t="shared" si="45"/>
        <v>1</v>
      </c>
      <c r="U155" s="7">
        <f t="shared" si="41"/>
        <v>0.87443941503235556</v>
      </c>
      <c r="V155" s="7">
        <f t="shared" si="46"/>
        <v>3.637139149867704E-2</v>
      </c>
      <c r="W155" s="7">
        <f t="shared" si="47"/>
        <v>0</v>
      </c>
      <c r="X155" s="8" t="s">
        <v>3</v>
      </c>
      <c r="Y155" s="7">
        <v>-0.41859261717684881</v>
      </c>
      <c r="Z155" s="7">
        <v>0.44488250415034925</v>
      </c>
      <c r="AC155" s="7">
        <f t="shared" si="48"/>
        <v>0.3971494272098135</v>
      </c>
      <c r="AD155" s="7">
        <f t="shared" si="49"/>
        <v>0.42955691088200632</v>
      </c>
      <c r="AE155" s="6" t="s">
        <v>3</v>
      </c>
      <c r="AF155" s="6" t="s">
        <v>3</v>
      </c>
      <c r="AG155" s="6" t="s">
        <v>3</v>
      </c>
      <c r="AH155" s="6" t="s">
        <v>3</v>
      </c>
      <c r="AI155" s="6" t="s">
        <v>3</v>
      </c>
      <c r="AJ155" s="6" t="s">
        <v>3</v>
      </c>
      <c r="AK155" s="5">
        <f t="shared" si="50"/>
        <v>290.06662789681673</v>
      </c>
      <c r="AL155" s="7">
        <f t="shared" si="51"/>
        <v>4.7733076940535746E-2</v>
      </c>
      <c r="AM155" s="7">
        <f t="shared" si="52"/>
        <v>0.87443941503235556</v>
      </c>
    </row>
    <row r="156" spans="10:39" x14ac:dyDescent="0.25">
      <c r="J156" s="3">
        <v>150</v>
      </c>
      <c r="K156" s="7">
        <v>-0.40444642103016037</v>
      </c>
      <c r="L156" s="7">
        <f t="shared" si="42"/>
        <v>0.42076162510893844</v>
      </c>
      <c r="M156" s="7">
        <f t="shared" ca="1" si="37"/>
        <v>0.18754635930251229</v>
      </c>
      <c r="N156" s="7">
        <f t="shared" si="38"/>
        <v>-0.40444642103016037</v>
      </c>
      <c r="O156" s="7">
        <v>0.44952609067209559</v>
      </c>
      <c r="P156" s="7">
        <f t="shared" si="39"/>
        <v>0.3992806961743911</v>
      </c>
      <c r="Q156" s="7">
        <f t="shared" si="43"/>
        <v>-5.0245394497704488E-2</v>
      </c>
      <c r="R156" s="7">
        <f t="shared" si="40"/>
        <v>1.1491201297388898E-3</v>
      </c>
      <c r="S156" s="7">
        <f t="shared" si="44"/>
        <v>-3.5870157643388537E-2</v>
      </c>
      <c r="T156" s="7">
        <f t="shared" si="45"/>
        <v>1</v>
      </c>
      <c r="U156" s="7">
        <f t="shared" si="41"/>
        <v>0.82420535719969901</v>
      </c>
      <c r="V156" s="7">
        <f t="shared" si="46"/>
        <v>3.5594530320122324E-2</v>
      </c>
      <c r="W156" s="7">
        <f t="shared" si="47"/>
        <v>0</v>
      </c>
      <c r="X156" s="8" t="s">
        <v>3</v>
      </c>
      <c r="Y156" s="7">
        <v>-0.40444642103016037</v>
      </c>
      <c r="Z156" s="7">
        <v>0.3992806961743911</v>
      </c>
      <c r="AC156" s="7">
        <f t="shared" si="48"/>
        <v>0.39813157604465221</v>
      </c>
      <c r="AD156" s="7">
        <f t="shared" si="49"/>
        <v>0.4249246610253079</v>
      </c>
      <c r="AE156" s="6" t="s">
        <v>3</v>
      </c>
      <c r="AF156" s="6" t="s">
        <v>3</v>
      </c>
      <c r="AG156" s="6" t="s">
        <v>3</v>
      </c>
      <c r="AH156" s="6" t="s">
        <v>3</v>
      </c>
      <c r="AI156" s="6" t="s">
        <v>3</v>
      </c>
      <c r="AJ156" s="6" t="s">
        <v>3</v>
      </c>
      <c r="AK156" s="5">
        <f t="shared" si="50"/>
        <v>297.17688169310094</v>
      </c>
      <c r="AL156" s="7">
        <f t="shared" si="51"/>
        <v>1.1491201297388898E-3</v>
      </c>
      <c r="AM156" s="7">
        <f t="shared" si="52"/>
        <v>0.82420535719969901</v>
      </c>
    </row>
    <row r="157" spans="10:39" x14ac:dyDescent="0.25">
      <c r="J157" s="3">
        <v>151</v>
      </c>
      <c r="K157" s="7">
        <v>-0.40400110771977316</v>
      </c>
      <c r="L157" s="7">
        <f t="shared" si="42"/>
        <v>0.41908560182968341</v>
      </c>
      <c r="M157" s="7">
        <f t="shared" ca="1" si="37"/>
        <v>0.69026188097042351</v>
      </c>
      <c r="N157" s="7">
        <f t="shared" si="38"/>
        <v>-0.40400110771977316</v>
      </c>
      <c r="O157" s="7">
        <v>0.28534038400690676</v>
      </c>
      <c r="P157" s="7">
        <f t="shared" si="39"/>
        <v>0.39791187121909921</v>
      </c>
      <c r="Q157" s="7">
        <f t="shared" si="43"/>
        <v>0.11257148721219246</v>
      </c>
      <c r="R157" s="7">
        <f t="shared" si="40"/>
        <v>-2.4307578549453979E-4</v>
      </c>
      <c r="S157" s="7">
        <f t="shared" si="44"/>
        <v>-2.2846676783392104E-2</v>
      </c>
      <c r="T157" s="7">
        <f t="shared" si="45"/>
        <v>1</v>
      </c>
      <c r="U157" s="7">
        <f t="shared" si="41"/>
        <v>0.82266639329575963</v>
      </c>
      <c r="V157" s="7">
        <f t="shared" si="46"/>
        <v>5.1045970882441026E-2</v>
      </c>
      <c r="W157" s="7">
        <f t="shared" si="47"/>
        <v>0</v>
      </c>
      <c r="X157" s="8" t="s">
        <v>3</v>
      </c>
      <c r="Y157" s="7">
        <v>-0.40400110771977316</v>
      </c>
      <c r="Z157" s="7">
        <v>0.39791187121909921</v>
      </c>
      <c r="AC157" s="7">
        <f t="shared" si="48"/>
        <v>0.39815494700459375</v>
      </c>
      <c r="AD157" s="7">
        <f t="shared" si="49"/>
        <v>0.42475452207666042</v>
      </c>
      <c r="AE157" s="6" t="s">
        <v>3</v>
      </c>
      <c r="AF157" s="6" t="s">
        <v>3</v>
      </c>
      <c r="AG157" s="6" t="s">
        <v>3</v>
      </c>
      <c r="AH157" s="6" t="s">
        <v>3</v>
      </c>
      <c r="AI157" s="6" t="s">
        <v>3</v>
      </c>
      <c r="AJ157" s="6" t="s">
        <v>3</v>
      </c>
      <c r="AK157" s="5">
        <f t="shared" si="50"/>
        <v>297.40070798696001</v>
      </c>
      <c r="AL157" s="7">
        <f t="shared" si="51"/>
        <v>-2.4307578549453979E-4</v>
      </c>
      <c r="AM157" s="7">
        <f t="shared" si="52"/>
        <v>0.82266639329575963</v>
      </c>
    </row>
    <row r="158" spans="10:39" x14ac:dyDescent="0.25">
      <c r="J158" s="3">
        <v>152</v>
      </c>
      <c r="K158" s="7">
        <v>-0.40368202539140774</v>
      </c>
      <c r="L158" s="7">
        <f t="shared" si="42"/>
        <v>0.41788719324664753</v>
      </c>
      <c r="M158" s="7">
        <f t="shared" ca="1" si="37"/>
        <v>0.38516633514079435</v>
      </c>
      <c r="N158" s="7">
        <f t="shared" si="38"/>
        <v>-0.40368202539140774</v>
      </c>
      <c r="O158" s="7">
        <v>0.46022724756354816</v>
      </c>
      <c r="P158" s="7">
        <f t="shared" si="39"/>
        <v>0.39693350914349068</v>
      </c>
      <c r="Q158" s="7">
        <f t="shared" si="43"/>
        <v>-6.3293738420057477E-2</v>
      </c>
      <c r="R158" s="7">
        <f t="shared" si="40"/>
        <v>-1.2379027777846829E-3</v>
      </c>
      <c r="S158" s="7">
        <f t="shared" si="44"/>
        <v>-3.6917212027306627E-2</v>
      </c>
      <c r="T158" s="7">
        <f t="shared" si="45"/>
        <v>1</v>
      </c>
      <c r="U158" s="7">
        <f t="shared" si="41"/>
        <v>0.82156525977238659</v>
      </c>
      <c r="V158" s="7">
        <f t="shared" si="46"/>
        <v>3.4327111159839649E-2</v>
      </c>
      <c r="W158" s="7">
        <f t="shared" si="47"/>
        <v>0</v>
      </c>
      <c r="X158" s="8" t="s">
        <v>3</v>
      </c>
      <c r="Y158" s="7">
        <v>-0.40368202539140774</v>
      </c>
      <c r="Z158" s="7">
        <v>0.39693350914349068</v>
      </c>
      <c r="AC158" s="7">
        <f t="shared" si="48"/>
        <v>0.39817141192127536</v>
      </c>
      <c r="AD158" s="7">
        <f t="shared" si="49"/>
        <v>0.42463175062889591</v>
      </c>
      <c r="AE158" s="6" t="s">
        <v>3</v>
      </c>
      <c r="AF158" s="6" t="s">
        <v>3</v>
      </c>
      <c r="AG158" s="6" t="s">
        <v>3</v>
      </c>
      <c r="AH158" s="6" t="s">
        <v>3</v>
      </c>
      <c r="AI158" s="6" t="s">
        <v>3</v>
      </c>
      <c r="AJ158" s="6" t="s">
        <v>3</v>
      </c>
      <c r="AK158" s="5">
        <f t="shared" si="50"/>
        <v>297.56108723754164</v>
      </c>
      <c r="AL158" s="7">
        <f t="shared" si="51"/>
        <v>-1.2379027777846829E-3</v>
      </c>
      <c r="AM158" s="7">
        <f t="shared" si="52"/>
        <v>0.82156525977238659</v>
      </c>
    </row>
    <row r="159" spans="10:39" x14ac:dyDescent="0.25">
      <c r="J159" s="3">
        <v>153</v>
      </c>
      <c r="K159" s="7">
        <v>-0.39453891288814913</v>
      </c>
      <c r="L159" s="7">
        <f t="shared" si="42"/>
        <v>0.38444166836765564</v>
      </c>
      <c r="M159" s="7">
        <f t="shared" ca="1" si="37"/>
        <v>0.13285530339676466</v>
      </c>
      <c r="N159" s="7">
        <f t="shared" si="38"/>
        <v>-0.39453891288814913</v>
      </c>
      <c r="O159" s="7">
        <v>0.59836965592126301</v>
      </c>
      <c r="P159" s="7">
        <f t="shared" si="39"/>
        <v>0.36975413378943278</v>
      </c>
      <c r="Q159" s="7">
        <f t="shared" si="43"/>
        <v>-0.22861552213183023</v>
      </c>
      <c r="R159" s="7">
        <f t="shared" si="40"/>
        <v>-2.8790014322892077E-2</v>
      </c>
      <c r="S159" s="7">
        <f t="shared" si="44"/>
        <v>-5.0172773619532408E-2</v>
      </c>
      <c r="T159" s="7">
        <f t="shared" si="45"/>
        <v>1</v>
      </c>
      <c r="U159" s="7">
        <f t="shared" si="41"/>
        <v>0.79057476281745864</v>
      </c>
      <c r="V159" s="7">
        <f t="shared" si="46"/>
        <v>1.8259485155138585E-2</v>
      </c>
      <c r="W159" s="7">
        <f t="shared" si="47"/>
        <v>0</v>
      </c>
      <c r="X159" s="8" t="s">
        <v>3</v>
      </c>
      <c r="Y159" s="7">
        <v>-0.39453891288814913</v>
      </c>
      <c r="Z159" s="7">
        <v>0.36975413378943278</v>
      </c>
      <c r="AC159" s="7">
        <f t="shared" si="48"/>
        <v>0.39854414811232486</v>
      </c>
      <c r="AD159" s="7">
        <f t="shared" si="49"/>
        <v>0.42082062902802586</v>
      </c>
      <c r="AE159" s="6" t="s">
        <v>3</v>
      </c>
      <c r="AF159" s="6" t="s">
        <v>3</v>
      </c>
      <c r="AG159" s="6" t="s">
        <v>3</v>
      </c>
      <c r="AH159" s="6" t="s">
        <v>3</v>
      </c>
      <c r="AI159" s="6" t="s">
        <v>3</v>
      </c>
      <c r="AJ159" s="6" t="s">
        <v>3</v>
      </c>
      <c r="AK159" s="5">
        <f t="shared" si="50"/>
        <v>302.15665835164407</v>
      </c>
      <c r="AL159" s="7">
        <f t="shared" si="51"/>
        <v>-2.8790014322892077E-2</v>
      </c>
      <c r="AM159" s="7">
        <f t="shared" si="52"/>
        <v>0.79057476281745864</v>
      </c>
    </row>
    <row r="160" spans="10:39" x14ac:dyDescent="0.25">
      <c r="J160" s="3">
        <v>154</v>
      </c>
      <c r="K160" s="7">
        <v>-0.38742509793999158</v>
      </c>
      <c r="L160" s="7">
        <f t="shared" si="42"/>
        <v>0.35961379124285126</v>
      </c>
      <c r="M160" s="7">
        <f t="shared" ca="1" si="37"/>
        <v>0.65756605341843888</v>
      </c>
      <c r="N160" s="7">
        <f t="shared" si="38"/>
        <v>-0.38742509793999158</v>
      </c>
      <c r="O160" s="7">
        <v>0.2537415658024752</v>
      </c>
      <c r="P160" s="7">
        <f t="shared" si="39"/>
        <v>0.34971980856433582</v>
      </c>
      <c r="Q160" s="7">
        <f t="shared" si="43"/>
        <v>9.5978242761860622E-2</v>
      </c>
      <c r="R160" s="7">
        <f t="shared" si="40"/>
        <v>-4.8983712471364349E-2</v>
      </c>
      <c r="S160" s="7">
        <f t="shared" si="44"/>
        <v>-2.4218022261907165E-2</v>
      </c>
      <c r="T160" s="7">
        <f t="shared" si="45"/>
        <v>1</v>
      </c>
      <c r="U160" s="7">
        <f t="shared" si="41"/>
        <v>0.76721053450096144</v>
      </c>
      <c r="V160" s="7">
        <f t="shared" si="46"/>
        <v>4.8779552026356192E-2</v>
      </c>
      <c r="W160" s="7">
        <f t="shared" si="47"/>
        <v>0</v>
      </c>
      <c r="X160" s="8" t="s">
        <v>3</v>
      </c>
      <c r="Y160" s="7">
        <v>-0.38742509793999158</v>
      </c>
      <c r="Z160" s="7">
        <v>0.34971980856433582</v>
      </c>
      <c r="AC160" s="7">
        <f t="shared" si="48"/>
        <v>0.39870352103570017</v>
      </c>
      <c r="AD160" s="7">
        <f t="shared" si="49"/>
        <v>0.41749072593662562</v>
      </c>
      <c r="AE160" s="6" t="s">
        <v>3</v>
      </c>
      <c r="AF160" s="6" t="s">
        <v>3</v>
      </c>
      <c r="AG160" s="6" t="s">
        <v>3</v>
      </c>
      <c r="AH160" s="6" t="s">
        <v>3</v>
      </c>
      <c r="AI160" s="6" t="s">
        <v>3</v>
      </c>
      <c r="AJ160" s="6" t="s">
        <v>3</v>
      </c>
      <c r="AK160" s="5">
        <f t="shared" si="50"/>
        <v>305.73225063219087</v>
      </c>
      <c r="AL160" s="7">
        <f t="shared" si="51"/>
        <v>-4.8983712471364349E-2</v>
      </c>
      <c r="AM160" s="7">
        <f t="shared" si="52"/>
        <v>0.76721053450096144</v>
      </c>
    </row>
    <row r="161" spans="10:39" x14ac:dyDescent="0.25">
      <c r="J161" s="3">
        <v>155</v>
      </c>
      <c r="K161" s="7">
        <v>-0.38627837080065985</v>
      </c>
      <c r="L161" s="7">
        <f t="shared" si="42"/>
        <v>0.35570923544915733</v>
      </c>
      <c r="M161" s="7">
        <f t="shared" ca="1" si="37"/>
        <v>-0.13896490545576629</v>
      </c>
      <c r="N161" s="7">
        <f t="shared" si="38"/>
        <v>-0.38627837080065985</v>
      </c>
      <c r="O161" s="7">
        <v>6.1745197934352847E-2</v>
      </c>
      <c r="P161" s="7">
        <f t="shared" si="39"/>
        <v>0.3465788312349134</v>
      </c>
      <c r="Q161" s="7">
        <f t="shared" si="43"/>
        <v>0.28483363330056055</v>
      </c>
      <c r="R161" s="7">
        <f t="shared" si="40"/>
        <v>-5.2139854561994881E-2</v>
      </c>
      <c r="S161" s="7">
        <f t="shared" si="44"/>
        <v>-9.1108041997078181E-3</v>
      </c>
      <c r="T161" s="7">
        <f t="shared" si="45"/>
        <v>1</v>
      </c>
      <c r="U161" s="7">
        <f t="shared" si="41"/>
        <v>0.76350524792508767</v>
      </c>
      <c r="V161" s="7">
        <f t="shared" si="46"/>
        <v>6.6667204749119816E-2</v>
      </c>
      <c r="W161" s="7">
        <f t="shared" si="47"/>
        <v>0</v>
      </c>
      <c r="X161" s="8" t="s">
        <v>3</v>
      </c>
      <c r="Y161" s="7">
        <v>-0.38627837080065985</v>
      </c>
      <c r="Z161" s="7">
        <v>0.3465788312349134</v>
      </c>
      <c r="AC161" s="7">
        <f t="shared" si="48"/>
        <v>0.39871868579690828</v>
      </c>
      <c r="AD161" s="7">
        <f t="shared" si="49"/>
        <v>0.41692641669017427</v>
      </c>
      <c r="AE161" s="6" t="s">
        <v>3</v>
      </c>
      <c r="AF161" s="6" t="s">
        <v>3</v>
      </c>
      <c r="AG161" s="6" t="s">
        <v>3</v>
      </c>
      <c r="AH161" s="6" t="s">
        <v>3</v>
      </c>
      <c r="AI161" s="6" t="s">
        <v>3</v>
      </c>
      <c r="AJ161" s="6" t="s">
        <v>3</v>
      </c>
      <c r="AK161" s="5">
        <f t="shared" si="50"/>
        <v>306.30862614057406</v>
      </c>
      <c r="AL161" s="7">
        <f t="shared" si="51"/>
        <v>-5.2139854561994881E-2</v>
      </c>
      <c r="AM161" s="7">
        <f t="shared" si="52"/>
        <v>0.76350524792508767</v>
      </c>
    </row>
    <row r="162" spans="10:39" x14ac:dyDescent="0.25">
      <c r="J162" s="3">
        <v>156</v>
      </c>
      <c r="K162" s="7">
        <v>-0.38252796871813732</v>
      </c>
      <c r="L162" s="7">
        <f t="shared" si="42"/>
        <v>0.34312807642183868</v>
      </c>
      <c r="M162" s="7">
        <f t="shared" ca="1" si="37"/>
        <v>0.26359023579189</v>
      </c>
      <c r="N162" s="7">
        <f t="shared" si="38"/>
        <v>-0.38252796871813732</v>
      </c>
      <c r="O162" s="7">
        <v>0.37118267211426237</v>
      </c>
      <c r="P162" s="7">
        <f t="shared" si="39"/>
        <v>0.33647421530770361</v>
      </c>
      <c r="Q162" s="7">
        <f t="shared" si="43"/>
        <v>-3.4708456806558763E-2</v>
      </c>
      <c r="R162" s="7">
        <f t="shared" si="40"/>
        <v>-6.2273923183353119E-2</v>
      </c>
      <c r="S162" s="7">
        <f t="shared" si="44"/>
        <v>-3.4676527623809239E-2</v>
      </c>
      <c r="T162" s="7">
        <f t="shared" si="45"/>
        <v>1</v>
      </c>
      <c r="U162" s="7">
        <f t="shared" si="41"/>
        <v>0.75150473505523885</v>
      </c>
      <c r="V162" s="7">
        <f t="shared" si="46"/>
        <v>3.6130595979392763E-2</v>
      </c>
      <c r="W162" s="7">
        <f t="shared" si="47"/>
        <v>0</v>
      </c>
      <c r="X162" s="8" t="s">
        <v>3</v>
      </c>
      <c r="Y162" s="7">
        <v>-0.38252796871813732</v>
      </c>
      <c r="Z162" s="7">
        <v>0.33647421530770361</v>
      </c>
      <c r="AC162" s="7">
        <f t="shared" si="48"/>
        <v>0.39874813849105673</v>
      </c>
      <c r="AD162" s="7">
        <f t="shared" si="49"/>
        <v>0.41503051974753524</v>
      </c>
      <c r="AE162" s="6" t="s">
        <v>3</v>
      </c>
      <c r="AF162" s="6" t="s">
        <v>3</v>
      </c>
      <c r="AG162" s="6" t="s">
        <v>3</v>
      </c>
      <c r="AH162" s="6" t="s">
        <v>3</v>
      </c>
      <c r="AI162" s="6" t="s">
        <v>3</v>
      </c>
      <c r="AJ162" s="6" t="s">
        <v>3</v>
      </c>
      <c r="AK162" s="5">
        <f t="shared" si="50"/>
        <v>308.19367780876331</v>
      </c>
      <c r="AL162" s="7">
        <f t="shared" si="51"/>
        <v>-6.2273923183353119E-2</v>
      </c>
      <c r="AM162" s="7">
        <f t="shared" si="52"/>
        <v>0.75150473505523885</v>
      </c>
    </row>
    <row r="163" spans="10:39" x14ac:dyDescent="0.25">
      <c r="J163" s="3">
        <v>157</v>
      </c>
      <c r="K163" s="7">
        <v>-0.36903278481418833</v>
      </c>
      <c r="L163" s="7">
        <f t="shared" si="42"/>
        <v>0.30023495123254695</v>
      </c>
      <c r="M163" s="7">
        <f t="shared" ca="1" si="37"/>
        <v>0.26365850271384506</v>
      </c>
      <c r="N163" s="7">
        <f t="shared" si="38"/>
        <v>-0.36903278481418833</v>
      </c>
      <c r="O163" s="7">
        <v>0.39916560138026508</v>
      </c>
      <c r="P163" s="7">
        <f t="shared" si="39"/>
        <v>0.30217452903659581</v>
      </c>
      <c r="Q163" s="7">
        <f t="shared" si="43"/>
        <v>-9.6991072343669271E-2</v>
      </c>
      <c r="R163" s="7">
        <f t="shared" si="40"/>
        <v>-9.6430048522400114E-2</v>
      </c>
      <c r="S163" s="7">
        <f t="shared" si="44"/>
        <v>-3.9647651992213213E-2</v>
      </c>
      <c r="T163" s="7">
        <f t="shared" si="45"/>
        <v>1</v>
      </c>
      <c r="U163" s="7">
        <f t="shared" si="41"/>
        <v>0.70980425230427913</v>
      </c>
      <c r="V163" s="7">
        <f t="shared" si="46"/>
        <v>2.9510671837781336E-2</v>
      </c>
      <c r="W163" s="7">
        <f t="shared" si="47"/>
        <v>0</v>
      </c>
      <c r="X163" s="8" t="s">
        <v>3</v>
      </c>
      <c r="Y163" s="7">
        <v>-0.36903278481418833</v>
      </c>
      <c r="Z163" s="7">
        <v>0.30217452903659581</v>
      </c>
      <c r="AC163" s="7">
        <f t="shared" si="48"/>
        <v>0.39860457755899592</v>
      </c>
      <c r="AD163" s="7">
        <f t="shared" si="49"/>
        <v>0.40762972326768332</v>
      </c>
      <c r="AE163" s="6" t="s">
        <v>3</v>
      </c>
      <c r="AF163" s="6" t="s">
        <v>3</v>
      </c>
      <c r="AG163" s="6" t="s">
        <v>3</v>
      </c>
      <c r="AH163" s="6" t="s">
        <v>3</v>
      </c>
      <c r="AI163" s="6" t="s">
        <v>3</v>
      </c>
      <c r="AJ163" s="6" t="s">
        <v>3</v>
      </c>
      <c r="AK163" s="5">
        <f t="shared" si="50"/>
        <v>314.97671556602421</v>
      </c>
      <c r="AL163" s="7">
        <f t="shared" si="51"/>
        <v>-9.6430048522400114E-2</v>
      </c>
      <c r="AM163" s="7">
        <f t="shared" si="52"/>
        <v>0.70980425230427913</v>
      </c>
    </row>
    <row r="164" spans="10:39" x14ac:dyDescent="0.25">
      <c r="J164" s="3">
        <v>158</v>
      </c>
      <c r="K164" s="7">
        <v>-0.36826040883640077</v>
      </c>
      <c r="L164" s="7">
        <f t="shared" si="42"/>
        <v>0.29789180622898603</v>
      </c>
      <c r="M164" s="7">
        <f t="shared" ca="1" si="37"/>
        <v>0.28373729690467925</v>
      </c>
      <c r="N164" s="7">
        <f t="shared" si="38"/>
        <v>-0.36826040883640077</v>
      </c>
      <c r="O164" s="7">
        <v>0.66947736286444326</v>
      </c>
      <c r="P164" s="7">
        <f t="shared" si="39"/>
        <v>0.30030577351323462</v>
      </c>
      <c r="Q164" s="7">
        <f t="shared" si="43"/>
        <v>-0.36917158935120864</v>
      </c>
      <c r="R164" s="7">
        <f t="shared" si="40"/>
        <v>-9.8279054851115433E-2</v>
      </c>
      <c r="S164" s="7">
        <f t="shared" si="44"/>
        <v>-6.14205134172447E-2</v>
      </c>
      <c r="T164" s="7">
        <f t="shared" si="45"/>
        <v>1</v>
      </c>
      <c r="U164" s="7">
        <f t="shared" si="41"/>
        <v>0.70748720062338966</v>
      </c>
      <c r="V164" s="7">
        <f t="shared" si="46"/>
        <v>3.6109345870999079E-3</v>
      </c>
      <c r="W164" s="7">
        <f t="shared" si="47"/>
        <v>0</v>
      </c>
      <c r="X164" s="8" t="s">
        <v>3</v>
      </c>
      <c r="Y164" s="7">
        <v>-0.36826040883640077</v>
      </c>
      <c r="Z164" s="7">
        <v>0.30030577351323462</v>
      </c>
      <c r="AC164" s="7">
        <f t="shared" si="48"/>
        <v>0.39858482836435005</v>
      </c>
      <c r="AD164" s="7">
        <f t="shared" si="49"/>
        <v>0.40718142711015504</v>
      </c>
      <c r="AE164" s="6" t="s">
        <v>3</v>
      </c>
      <c r="AF164" s="6" t="s">
        <v>3</v>
      </c>
      <c r="AG164" s="6" t="s">
        <v>3</v>
      </c>
      <c r="AH164" s="6" t="s">
        <v>3</v>
      </c>
      <c r="AI164" s="6" t="s">
        <v>3</v>
      </c>
      <c r="AJ164" s="6" t="s">
        <v>3</v>
      </c>
      <c r="AK164" s="5">
        <f t="shared" si="50"/>
        <v>315.36493224075969</v>
      </c>
      <c r="AL164" s="7">
        <f t="shared" si="51"/>
        <v>-9.8279054851115433E-2</v>
      </c>
      <c r="AM164" s="7">
        <f t="shared" si="52"/>
        <v>0.70748720062338966</v>
      </c>
    </row>
    <row r="165" spans="10:39" x14ac:dyDescent="0.25">
      <c r="J165" s="3">
        <v>159</v>
      </c>
      <c r="K165" s="7">
        <v>-0.36816096479850757</v>
      </c>
      <c r="L165" s="7">
        <f t="shared" si="42"/>
        <v>0.29759099770621916</v>
      </c>
      <c r="M165" s="7">
        <f t="shared" ca="1" si="37"/>
        <v>0.45157514182767589</v>
      </c>
      <c r="N165" s="7">
        <f t="shared" si="38"/>
        <v>-0.36816096479850757</v>
      </c>
      <c r="O165" s="7">
        <v>0.47813240443364347</v>
      </c>
      <c r="P165" s="7">
        <f t="shared" si="39"/>
        <v>0.30006589178951337</v>
      </c>
      <c r="Q165" s="7">
        <f t="shared" si="43"/>
        <v>-0.17806651264413009</v>
      </c>
      <c r="R165" s="7">
        <f t="shared" si="40"/>
        <v>-9.8516304987863457E-2</v>
      </c>
      <c r="S165" s="7">
        <f t="shared" si="44"/>
        <v>-4.6131896753720557E-2</v>
      </c>
      <c r="T165" s="7">
        <f t="shared" si="45"/>
        <v>1</v>
      </c>
      <c r="U165" s="7">
        <f t="shared" si="41"/>
        <v>0.70718942241390415</v>
      </c>
      <c r="V165" s="7">
        <f t="shared" si="46"/>
        <v>2.1760416708124765E-2</v>
      </c>
      <c r="W165" s="7">
        <f t="shared" si="47"/>
        <v>0</v>
      </c>
      <c r="X165" s="8" t="s">
        <v>3</v>
      </c>
      <c r="Y165" s="7">
        <v>-0.36816096479850757</v>
      </c>
      <c r="Z165" s="7">
        <v>0.30006589178951337</v>
      </c>
      <c r="AC165" s="7">
        <f t="shared" si="48"/>
        <v>0.39858219677737683</v>
      </c>
      <c r="AD165" s="7">
        <f t="shared" si="49"/>
        <v>0.40712353062439077</v>
      </c>
      <c r="AE165" s="6" t="s">
        <v>3</v>
      </c>
      <c r="AF165" s="6" t="s">
        <v>3</v>
      </c>
      <c r="AG165" s="6" t="s">
        <v>3</v>
      </c>
      <c r="AH165" s="6" t="s">
        <v>3</v>
      </c>
      <c r="AI165" s="6" t="s">
        <v>3</v>
      </c>
      <c r="AJ165" s="6" t="s">
        <v>3</v>
      </c>
      <c r="AK165" s="5">
        <f t="shared" si="50"/>
        <v>315.41491545466511</v>
      </c>
      <c r="AL165" s="7">
        <f t="shared" si="51"/>
        <v>-9.8516304987863457E-2</v>
      </c>
      <c r="AM165" s="7">
        <f t="shared" si="52"/>
        <v>0.70718942241390415</v>
      </c>
    </row>
    <row r="166" spans="10:39" x14ac:dyDescent="0.25">
      <c r="J166" s="3">
        <v>160</v>
      </c>
      <c r="K166" s="7">
        <v>-0.36668735205868819</v>
      </c>
      <c r="L166" s="7">
        <f t="shared" si="42"/>
        <v>0.29315678314339538</v>
      </c>
      <c r="M166" s="7">
        <f t="shared" ca="1" si="37"/>
        <v>0.26468729328164925</v>
      </c>
      <c r="N166" s="7">
        <f t="shared" si="38"/>
        <v>-0.36668735205868819</v>
      </c>
      <c r="O166" s="7">
        <v>0.19329760502887322</v>
      </c>
      <c r="P166" s="7">
        <f t="shared" si="39"/>
        <v>0.29653042071339364</v>
      </c>
      <c r="Q166" s="7">
        <f t="shared" si="43"/>
        <v>0.10323281568452042</v>
      </c>
      <c r="R166" s="7">
        <f t="shared" si="40"/>
        <v>-0.10201041237407615</v>
      </c>
      <c r="S166" s="7">
        <f t="shared" si="44"/>
        <v>-2.362464139223595E-2</v>
      </c>
      <c r="T166" s="7">
        <f t="shared" si="45"/>
        <v>1</v>
      </c>
      <c r="U166" s="7">
        <f t="shared" si="41"/>
        <v>0.70279132337179617</v>
      </c>
      <c r="V166" s="7">
        <f t="shared" si="46"/>
        <v>4.8401903242577676E-2</v>
      </c>
      <c r="W166" s="7">
        <f t="shared" si="47"/>
        <v>0</v>
      </c>
      <c r="X166" s="8" t="s">
        <v>3</v>
      </c>
      <c r="Y166" s="7">
        <v>-0.36668735205868819</v>
      </c>
      <c r="Z166" s="7">
        <v>0.29653042071339364</v>
      </c>
      <c r="AC166" s="7">
        <f t="shared" si="48"/>
        <v>0.39854083308746979</v>
      </c>
      <c r="AD166" s="7">
        <f t="shared" si="49"/>
        <v>0.40626090265840253</v>
      </c>
      <c r="AE166" s="6" t="s">
        <v>3</v>
      </c>
      <c r="AF166" s="6" t="s">
        <v>3</v>
      </c>
      <c r="AG166" s="6" t="s">
        <v>3</v>
      </c>
      <c r="AH166" s="6" t="s">
        <v>3</v>
      </c>
      <c r="AI166" s="6" t="s">
        <v>3</v>
      </c>
      <c r="AJ166" s="6" t="s">
        <v>3</v>
      </c>
      <c r="AK166" s="5">
        <f t="shared" si="50"/>
        <v>316.15559234539279</v>
      </c>
      <c r="AL166" s="7">
        <f t="shared" si="51"/>
        <v>-0.10201041237407615</v>
      </c>
      <c r="AM166" s="7">
        <f t="shared" si="52"/>
        <v>0.70279132337179617</v>
      </c>
    </row>
    <row r="167" spans="10:39" x14ac:dyDescent="0.25">
      <c r="J167" s="3">
        <v>161</v>
      </c>
      <c r="K167" s="7">
        <v>-0.35782287537172341</v>
      </c>
      <c r="L167" s="7">
        <f t="shared" si="42"/>
        <v>0.26739917862160878</v>
      </c>
      <c r="M167" s="7">
        <f t="shared" ca="1" si="37"/>
        <v>0.54781971717452704</v>
      </c>
      <c r="N167" s="7">
        <f t="shared" si="38"/>
        <v>-0.35782287537172341</v>
      </c>
      <c r="O167" s="7">
        <v>4.4073792326865674E-2</v>
      </c>
      <c r="P167" s="7">
        <f t="shared" si="39"/>
        <v>0.27600741426880582</v>
      </c>
      <c r="Q167" s="7">
        <f t="shared" si="43"/>
        <v>0.23193362194194014</v>
      </c>
      <c r="R167" s="7">
        <f t="shared" si="40"/>
        <v>-0.12219252411999371</v>
      </c>
      <c r="S167" s="7">
        <f t="shared" si="44"/>
        <v>-1.3301305315748751E-2</v>
      </c>
      <c r="T167" s="7">
        <f t="shared" si="45"/>
        <v>1</v>
      </c>
      <c r="U167" s="7">
        <f t="shared" si="41"/>
        <v>0.67690616131824766</v>
      </c>
      <c r="V167" s="7">
        <f t="shared" si="46"/>
        <v>6.0119075054181285E-2</v>
      </c>
      <c r="W167" s="7">
        <f t="shared" si="47"/>
        <v>0</v>
      </c>
      <c r="X167" s="8" t="s">
        <v>3</v>
      </c>
      <c r="Y167" s="7">
        <v>-0.35782287537172341</v>
      </c>
      <c r="Z167" s="7">
        <v>0.27600741426880582</v>
      </c>
      <c r="AC167" s="7">
        <f t="shared" si="48"/>
        <v>0.39819993838879952</v>
      </c>
      <c r="AD167" s="7">
        <f t="shared" si="49"/>
        <v>0.40089874704944184</v>
      </c>
      <c r="AE167" s="6" t="s">
        <v>3</v>
      </c>
      <c r="AF167" s="6" t="s">
        <v>3</v>
      </c>
      <c r="AG167" s="6" t="s">
        <v>3</v>
      </c>
      <c r="AH167" s="6" t="s">
        <v>3</v>
      </c>
      <c r="AI167" s="6" t="s">
        <v>3</v>
      </c>
      <c r="AJ167" s="6" t="s">
        <v>3</v>
      </c>
      <c r="AK167" s="5">
        <f t="shared" si="50"/>
        <v>320.61111369982552</v>
      </c>
      <c r="AL167" s="7">
        <f t="shared" si="51"/>
        <v>-0.12219252411999371</v>
      </c>
      <c r="AM167" s="7">
        <f t="shared" si="52"/>
        <v>0.67690616131824766</v>
      </c>
    </row>
    <row r="168" spans="10:39" x14ac:dyDescent="0.25">
      <c r="J168" s="3">
        <v>162</v>
      </c>
      <c r="K168" s="7">
        <v>-0.35127723401304789</v>
      </c>
      <c r="L168" s="7">
        <f t="shared" si="42"/>
        <v>0.2493769099783166</v>
      </c>
      <c r="M168" s="7">
        <f t="shared" ca="1" si="37"/>
        <v>-0.2083082720386398</v>
      </c>
      <c r="N168" s="7">
        <f t="shared" si="38"/>
        <v>-0.35127723401304789</v>
      </c>
      <c r="O168" s="7">
        <v>0.20341338632888734</v>
      </c>
      <c r="P168" s="7">
        <f t="shared" si="39"/>
        <v>0.26164546606430861</v>
      </c>
      <c r="Q168" s="7">
        <f t="shared" si="43"/>
        <v>5.8232079735421272E-2</v>
      </c>
      <c r="R168" s="7">
        <f t="shared" si="40"/>
        <v>-0.13620419338997625</v>
      </c>
      <c r="S168" s="7">
        <f t="shared" si="44"/>
        <v>-2.7169406377509087E-2</v>
      </c>
      <c r="T168" s="7">
        <f t="shared" si="45"/>
        <v>1</v>
      </c>
      <c r="U168" s="7">
        <f t="shared" si="41"/>
        <v>0.65841569424095758</v>
      </c>
      <c r="V168" s="7">
        <f t="shared" si="46"/>
        <v>4.3225219251646671E-2</v>
      </c>
      <c r="W168" s="7">
        <f t="shared" si="47"/>
        <v>0</v>
      </c>
      <c r="X168" s="8" t="s">
        <v>3</v>
      </c>
      <c r="Y168" s="7">
        <v>-0.35127723401304789</v>
      </c>
      <c r="Z168" s="7">
        <v>0.26164546606430861</v>
      </c>
      <c r="AC168" s="7">
        <f t="shared" si="48"/>
        <v>0.39784965945428485</v>
      </c>
      <c r="AD168" s="7">
        <f t="shared" si="49"/>
        <v>0.39677022817664898</v>
      </c>
      <c r="AE168" s="6" t="s">
        <v>3</v>
      </c>
      <c r="AF168" s="6" t="s">
        <v>3</v>
      </c>
      <c r="AG168" s="6" t="s">
        <v>3</v>
      </c>
      <c r="AH168" s="6" t="s">
        <v>3</v>
      </c>
      <c r="AI168" s="6" t="s">
        <v>3</v>
      </c>
      <c r="AJ168" s="6" t="s">
        <v>3</v>
      </c>
      <c r="AK168" s="5">
        <f t="shared" si="50"/>
        <v>323.90112684802659</v>
      </c>
      <c r="AL168" s="7">
        <f t="shared" si="51"/>
        <v>-0.13620419338997625</v>
      </c>
      <c r="AM168" s="7">
        <f t="shared" si="52"/>
        <v>0.65841569424095758</v>
      </c>
    </row>
    <row r="169" spans="10:39" x14ac:dyDescent="0.25">
      <c r="J169" s="3">
        <v>163</v>
      </c>
      <c r="K169" s="7">
        <v>-0.3456606382220575</v>
      </c>
      <c r="L169" s="7">
        <f t="shared" si="42"/>
        <v>0.23457766938822311</v>
      </c>
      <c r="M169" s="7">
        <f t="shared" ca="1" si="37"/>
        <v>0.75573407419454974</v>
      </c>
      <c r="N169" s="7">
        <f t="shared" si="38"/>
        <v>-0.3456606382220575</v>
      </c>
      <c r="O169" s="7">
        <v>-0.15883628725312018</v>
      </c>
      <c r="P169" s="7">
        <f t="shared" si="39"/>
        <v>0.2498361915404006</v>
      </c>
      <c r="Q169" s="7">
        <f t="shared" si="43"/>
        <v>0.40867247879352075</v>
      </c>
      <c r="R169" s="7">
        <f t="shared" si="40"/>
        <v>-0.14764857651729191</v>
      </c>
      <c r="S169" s="7">
        <f t="shared" si="44"/>
        <v>1.0292693876962015E-2</v>
      </c>
      <c r="T169" s="7">
        <f t="shared" si="45"/>
        <v>0</v>
      </c>
      <c r="U169" s="7">
        <f t="shared" si="41"/>
        <v>0.64296692899372343</v>
      </c>
      <c r="V169" s="7">
        <f t="shared" si="46"/>
        <v>7.6171305543450141E-2</v>
      </c>
      <c r="W169" s="7">
        <f t="shared" si="47"/>
        <v>0</v>
      </c>
      <c r="X169" s="8" t="s">
        <v>3</v>
      </c>
      <c r="Y169" s="7">
        <v>-0.3456606382220575</v>
      </c>
      <c r="Z169" s="7">
        <v>0.2498361915404006</v>
      </c>
      <c r="AC169" s="7">
        <f t="shared" si="48"/>
        <v>0.39748476805769251</v>
      </c>
      <c r="AD169" s="7">
        <f t="shared" si="49"/>
        <v>0.39313073745332283</v>
      </c>
      <c r="AE169" s="6" t="s">
        <v>3</v>
      </c>
      <c r="AF169" s="6" t="s">
        <v>3</v>
      </c>
      <c r="AG169" s="6" t="s">
        <v>3</v>
      </c>
      <c r="AH169" s="6" t="s">
        <v>3</v>
      </c>
      <c r="AI169" s="6" t="s">
        <v>3</v>
      </c>
      <c r="AJ169" s="6" t="s">
        <v>3</v>
      </c>
      <c r="AK169" s="5">
        <f t="shared" si="50"/>
        <v>326.7241770256839</v>
      </c>
      <c r="AL169" s="7">
        <f t="shared" si="51"/>
        <v>-0.14764857651729191</v>
      </c>
      <c r="AM169" s="7">
        <f t="shared" si="52"/>
        <v>0.64296692899372343</v>
      </c>
    </row>
    <row r="170" spans="10:39" x14ac:dyDescent="0.25">
      <c r="J170" s="3">
        <v>164</v>
      </c>
      <c r="K170" s="7">
        <v>-0.34219918207939393</v>
      </c>
      <c r="L170" s="7">
        <f t="shared" si="42"/>
        <v>0.22575901530661857</v>
      </c>
      <c r="M170" s="7">
        <f t="shared" ca="1" si="37"/>
        <v>-0.10557792469529448</v>
      </c>
      <c r="N170" s="7">
        <f t="shared" si="38"/>
        <v>-0.34219918207939393</v>
      </c>
      <c r="O170" s="7">
        <v>0.18950402834608593</v>
      </c>
      <c r="P170" s="7">
        <f t="shared" si="39"/>
        <v>0.24278724877682034</v>
      </c>
      <c r="Q170" s="7">
        <f t="shared" si="43"/>
        <v>5.3283220430734413E-2</v>
      </c>
      <c r="R170" s="7">
        <f t="shared" si="40"/>
        <v>-0.15444389302837447</v>
      </c>
      <c r="S170" s="7">
        <f t="shared" si="44"/>
        <v>-2.7515833709956833E-2</v>
      </c>
      <c r="T170" s="7">
        <f t="shared" si="45"/>
        <v>1</v>
      </c>
      <c r="U170" s="7">
        <f t="shared" si="41"/>
        <v>0.63363618580325531</v>
      </c>
      <c r="V170" s="7">
        <f t="shared" si="46"/>
        <v>4.2192554958431092E-2</v>
      </c>
      <c r="W170" s="7">
        <f t="shared" si="47"/>
        <v>0</v>
      </c>
      <c r="X170" s="8" t="s">
        <v>3</v>
      </c>
      <c r="Y170" s="7">
        <v>-0.34219918207939393</v>
      </c>
      <c r="Z170" s="7">
        <v>0.24278724877682034</v>
      </c>
      <c r="AC170" s="7">
        <f t="shared" si="48"/>
        <v>0.39723114180519481</v>
      </c>
      <c r="AD170" s="7">
        <f t="shared" si="49"/>
        <v>0.39084893702643497</v>
      </c>
      <c r="AE170" s="6" t="s">
        <v>3</v>
      </c>
      <c r="AF170" s="6" t="s">
        <v>3</v>
      </c>
      <c r="AG170" s="6" t="s">
        <v>3</v>
      </c>
      <c r="AH170" s="6" t="s">
        <v>3</v>
      </c>
      <c r="AI170" s="6" t="s">
        <v>3</v>
      </c>
      <c r="AJ170" s="6" t="s">
        <v>3</v>
      </c>
      <c r="AK170" s="5">
        <f t="shared" si="50"/>
        <v>328.46399679234298</v>
      </c>
      <c r="AL170" s="7">
        <f t="shared" si="51"/>
        <v>-0.15444389302837447</v>
      </c>
      <c r="AM170" s="7">
        <f t="shared" si="52"/>
        <v>0.63363618580325531</v>
      </c>
    </row>
    <row r="171" spans="10:39" x14ac:dyDescent="0.25">
      <c r="J171" s="3">
        <v>165</v>
      </c>
      <c r="K171" s="7">
        <v>-0.34158370802583771</v>
      </c>
      <c r="L171" s="7">
        <f t="shared" si="42"/>
        <v>0.2242148957576518</v>
      </c>
      <c r="M171" s="7">
        <f t="shared" ca="1" si="37"/>
        <v>0.12986232061840194</v>
      </c>
      <c r="N171" s="7">
        <f t="shared" si="38"/>
        <v>-0.34158370802583771</v>
      </c>
      <c r="O171" s="7">
        <v>0.52325874979107345</v>
      </c>
      <c r="P171" s="7">
        <f t="shared" si="39"/>
        <v>0.24155180907697371</v>
      </c>
      <c r="Q171" s="7">
        <f t="shared" si="43"/>
        <v>-0.28170694071409974</v>
      </c>
      <c r="R171" s="7">
        <f t="shared" si="40"/>
        <v>-0.15563198272579726</v>
      </c>
      <c r="S171" s="7">
        <f t="shared" si="44"/>
        <v>-5.4311258601349659E-2</v>
      </c>
      <c r="T171" s="7">
        <f t="shared" si="45"/>
        <v>1</v>
      </c>
      <c r="U171" s="7">
        <f t="shared" si="41"/>
        <v>0.63199220382751009</v>
      </c>
      <c r="V171" s="7">
        <f t="shared" si="46"/>
        <v>1.0329678133461482E-2</v>
      </c>
      <c r="W171" s="7">
        <f t="shared" si="47"/>
        <v>0</v>
      </c>
      <c r="X171" s="8" t="s">
        <v>3</v>
      </c>
      <c r="Y171" s="7">
        <v>-0.34158370802583771</v>
      </c>
      <c r="Z171" s="7">
        <v>0.24155180907697371</v>
      </c>
      <c r="AC171" s="7">
        <f t="shared" si="48"/>
        <v>0.39718379180277097</v>
      </c>
      <c r="AD171" s="7">
        <f t="shared" si="49"/>
        <v>0.39044039475053638</v>
      </c>
      <c r="AE171" s="6" t="s">
        <v>3</v>
      </c>
      <c r="AF171" s="6" t="s">
        <v>3</v>
      </c>
      <c r="AG171" s="6" t="s">
        <v>3</v>
      </c>
      <c r="AH171" s="6" t="s">
        <v>3</v>
      </c>
      <c r="AI171" s="6" t="s">
        <v>3</v>
      </c>
      <c r="AJ171" s="6" t="s">
        <v>3</v>
      </c>
      <c r="AK171" s="5">
        <f t="shared" si="50"/>
        <v>328.7733503938648</v>
      </c>
      <c r="AL171" s="7">
        <f t="shared" si="51"/>
        <v>-0.15563198272579726</v>
      </c>
      <c r="AM171" s="7">
        <f t="shared" si="52"/>
        <v>0.63199220382751009</v>
      </c>
    </row>
    <row r="172" spans="10:39" x14ac:dyDescent="0.25">
      <c r="J172" s="3">
        <v>166</v>
      </c>
      <c r="K172" s="7">
        <v>-0.3413814704212228</v>
      </c>
      <c r="L172" s="7">
        <f t="shared" si="42"/>
        <v>0.22370908535993334</v>
      </c>
      <c r="M172" s="7">
        <f t="shared" ca="1" si="37"/>
        <v>0.23832314862384218</v>
      </c>
      <c r="N172" s="7">
        <f t="shared" si="38"/>
        <v>-0.3413814704212228</v>
      </c>
      <c r="O172" s="7">
        <v>0.51817865017971387</v>
      </c>
      <c r="P172" s="7">
        <f t="shared" si="39"/>
        <v>0.24114702819874356</v>
      </c>
      <c r="Q172" s="7">
        <f t="shared" si="43"/>
        <v>-0.27703162198097031</v>
      </c>
      <c r="R172" s="7">
        <f t="shared" si="40"/>
        <v>-0.15602105767857744</v>
      </c>
      <c r="S172" s="7">
        <f t="shared" si="44"/>
        <v>-5.3935976628663305E-2</v>
      </c>
      <c r="T172" s="7">
        <f t="shared" si="45"/>
        <v>1</v>
      </c>
      <c r="U172" s="7">
        <f t="shared" si="41"/>
        <v>0.63145300284608008</v>
      </c>
      <c r="V172" s="7">
        <f t="shared" si="46"/>
        <v>1.076106350330479E-2</v>
      </c>
      <c r="W172" s="7">
        <f t="shared" si="47"/>
        <v>0</v>
      </c>
      <c r="X172" s="8" t="s">
        <v>3</v>
      </c>
      <c r="Y172" s="7">
        <v>-0.3413814704212228</v>
      </c>
      <c r="Z172" s="7">
        <v>0.24114702819874356</v>
      </c>
      <c r="AC172" s="7">
        <f t="shared" si="48"/>
        <v>0.397168085877321</v>
      </c>
      <c r="AD172" s="7">
        <f t="shared" si="49"/>
        <v>0.39030597464733652</v>
      </c>
      <c r="AE172" s="6" t="s">
        <v>3</v>
      </c>
      <c r="AF172" s="6" t="s">
        <v>3</v>
      </c>
      <c r="AG172" s="6" t="s">
        <v>3</v>
      </c>
      <c r="AH172" s="6" t="s">
        <v>3</v>
      </c>
      <c r="AI172" s="6" t="s">
        <v>3</v>
      </c>
      <c r="AJ172" s="6" t="s">
        <v>3</v>
      </c>
      <c r="AK172" s="5">
        <f t="shared" si="50"/>
        <v>328.87500038380227</v>
      </c>
      <c r="AL172" s="7">
        <f t="shared" si="51"/>
        <v>-0.15602105767857744</v>
      </c>
      <c r="AM172" s="7">
        <f t="shared" si="52"/>
        <v>0.63145300284608008</v>
      </c>
    </row>
    <row r="173" spans="10:39" x14ac:dyDescent="0.25">
      <c r="J173" s="3">
        <v>167</v>
      </c>
      <c r="K173" s="7">
        <v>-0.33891579010483142</v>
      </c>
      <c r="L173" s="7">
        <f t="shared" si="42"/>
        <v>0.21760447573639261</v>
      </c>
      <c r="M173" s="7">
        <f t="shared" ca="1" si="37"/>
        <v>0.18793365976899548</v>
      </c>
      <c r="N173" s="7">
        <f t="shared" si="38"/>
        <v>-0.33891579010483142</v>
      </c>
      <c r="O173" s="7">
        <v>0.56619070095042745</v>
      </c>
      <c r="P173" s="7">
        <f t="shared" si="39"/>
        <v>0.23625816718089698</v>
      </c>
      <c r="Q173" s="7">
        <f t="shared" si="43"/>
        <v>-0.32993253376953047</v>
      </c>
      <c r="R173" s="7">
        <f t="shared" si="40"/>
        <v>-0.16071261187958275</v>
      </c>
      <c r="S173" s="7">
        <f t="shared" si="44"/>
        <v>-5.8152265026400814E-2</v>
      </c>
      <c r="T173" s="7">
        <f t="shared" si="45"/>
        <v>1</v>
      </c>
      <c r="U173" s="7">
        <f t="shared" si="41"/>
        <v>0.62491845842312022</v>
      </c>
      <c r="V173" s="7">
        <f t="shared" si="46"/>
        <v>5.579136959905813E-3</v>
      </c>
      <c r="W173" s="7">
        <f t="shared" si="47"/>
        <v>0</v>
      </c>
      <c r="X173" s="8" t="s">
        <v>3</v>
      </c>
      <c r="Y173" s="7">
        <v>-0.33891579010483142</v>
      </c>
      <c r="Z173" s="7">
        <v>0.23625816718089698</v>
      </c>
      <c r="AC173" s="7">
        <f t="shared" si="48"/>
        <v>0.39697077906047973</v>
      </c>
      <c r="AD173" s="7">
        <f t="shared" si="49"/>
        <v>0.38866029124222323</v>
      </c>
      <c r="AE173" s="6" t="s">
        <v>3</v>
      </c>
      <c r="AF173" s="6" t="s">
        <v>3</v>
      </c>
      <c r="AG173" s="6" t="s">
        <v>3</v>
      </c>
      <c r="AH173" s="6" t="s">
        <v>3</v>
      </c>
      <c r="AI173" s="6" t="s">
        <v>3</v>
      </c>
      <c r="AJ173" s="6" t="s">
        <v>3</v>
      </c>
      <c r="AK173" s="5">
        <f t="shared" si="50"/>
        <v>330.1143167801149</v>
      </c>
      <c r="AL173" s="7">
        <f t="shared" si="51"/>
        <v>-0.16071261187958275</v>
      </c>
      <c r="AM173" s="7">
        <f t="shared" si="52"/>
        <v>0.62491845842312022</v>
      </c>
    </row>
    <row r="174" spans="10:39" x14ac:dyDescent="0.25">
      <c r="J174" s="3">
        <v>168</v>
      </c>
      <c r="K174" s="7">
        <v>-0.33811482895306311</v>
      </c>
      <c r="L174" s="7">
        <f t="shared" si="42"/>
        <v>0.21564609913533103</v>
      </c>
      <c r="M174" s="7">
        <f t="shared" ca="1" si="37"/>
        <v>7.3306913645574262E-2</v>
      </c>
      <c r="N174" s="7">
        <f t="shared" si="38"/>
        <v>-0.33811482895306311</v>
      </c>
      <c r="O174" s="7">
        <v>0.17833788865122002</v>
      </c>
      <c r="P174" s="7">
        <f t="shared" si="39"/>
        <v>0.23468830166062471</v>
      </c>
      <c r="Q174" s="7">
        <f t="shared" si="43"/>
        <v>5.6350413009404687E-2</v>
      </c>
      <c r="R174" s="7">
        <f t="shared" si="40"/>
        <v>-0.16221608443130808</v>
      </c>
      <c r="S174" s="7">
        <f t="shared" si="44"/>
        <v>-2.7244317846602251E-2</v>
      </c>
      <c r="T174" s="7">
        <f t="shared" si="45"/>
        <v>1</v>
      </c>
      <c r="U174" s="7">
        <f t="shared" si="41"/>
        <v>0.62281138540591097</v>
      </c>
      <c r="V174" s="7">
        <f t="shared" si="46"/>
        <v>4.222498219169564E-2</v>
      </c>
      <c r="W174" s="7">
        <f t="shared" si="47"/>
        <v>0</v>
      </c>
      <c r="X174" s="8" t="s">
        <v>3</v>
      </c>
      <c r="Y174" s="7">
        <v>-0.33811482895306311</v>
      </c>
      <c r="Z174" s="7">
        <v>0.23468830166062471</v>
      </c>
      <c r="AC174" s="7">
        <f t="shared" si="48"/>
        <v>0.39690438609193279</v>
      </c>
      <c r="AD174" s="7">
        <f t="shared" si="49"/>
        <v>0.38812308374528626</v>
      </c>
      <c r="AE174" s="6" t="s">
        <v>3</v>
      </c>
      <c r="AF174" s="6" t="s">
        <v>3</v>
      </c>
      <c r="AG174" s="6" t="s">
        <v>3</v>
      </c>
      <c r="AH174" s="6" t="s">
        <v>3</v>
      </c>
      <c r="AI174" s="6" t="s">
        <v>3</v>
      </c>
      <c r="AJ174" s="6" t="s">
        <v>3</v>
      </c>
      <c r="AK174" s="5">
        <f t="shared" si="50"/>
        <v>330.51690112229301</v>
      </c>
      <c r="AL174" s="7">
        <f t="shared" si="51"/>
        <v>-0.16221608443130808</v>
      </c>
      <c r="AM174" s="7">
        <f t="shared" si="52"/>
        <v>0.62281138540591097</v>
      </c>
    </row>
    <row r="175" spans="10:39" x14ac:dyDescent="0.25">
      <c r="J175" s="3">
        <v>169</v>
      </c>
      <c r="K175" s="7">
        <v>-0.33020067828733035</v>
      </c>
      <c r="L175" s="7">
        <f t="shared" si="42"/>
        <v>0.1969387479027227</v>
      </c>
      <c r="M175" s="7">
        <f t="shared" ca="1" si="37"/>
        <v>0.30084323245931016</v>
      </c>
      <c r="N175" s="7">
        <f t="shared" si="38"/>
        <v>-0.33020067828733035</v>
      </c>
      <c r="O175" s="7">
        <v>1.4476082322322517E-2</v>
      </c>
      <c r="P175" s="7">
        <f t="shared" si="39"/>
        <v>0.21964650359425875</v>
      </c>
      <c r="Q175" s="7">
        <f t="shared" si="43"/>
        <v>0.20517042127193624</v>
      </c>
      <c r="R175" s="7">
        <f t="shared" si="40"/>
        <v>-0.17654261338743815</v>
      </c>
      <c r="S175" s="7">
        <f t="shared" si="44"/>
        <v>-1.5281495656780853E-2</v>
      </c>
      <c r="T175" s="7">
        <f t="shared" si="45"/>
        <v>1</v>
      </c>
      <c r="U175" s="7">
        <f t="shared" si="41"/>
        <v>0.60240094936097832</v>
      </c>
      <c r="V175" s="7">
        <f t="shared" si="46"/>
        <v>5.5852862368672297E-2</v>
      </c>
      <c r="W175" s="7">
        <f t="shared" si="47"/>
        <v>0</v>
      </c>
      <c r="X175" s="8" t="s">
        <v>3</v>
      </c>
      <c r="Y175" s="7">
        <v>-0.33020067828733035</v>
      </c>
      <c r="Z175" s="7">
        <v>0.21964650359425875</v>
      </c>
      <c r="AC175" s="7">
        <f t="shared" si="48"/>
        <v>0.3961891169816969</v>
      </c>
      <c r="AD175" s="7">
        <f t="shared" si="49"/>
        <v>0.38275444576671958</v>
      </c>
      <c r="AE175" s="6" t="s">
        <v>3</v>
      </c>
      <c r="AF175" s="6" t="s">
        <v>3</v>
      </c>
      <c r="AG175" s="6" t="s">
        <v>3</v>
      </c>
      <c r="AH175" s="6" t="s">
        <v>3</v>
      </c>
      <c r="AI175" s="6" t="s">
        <v>3</v>
      </c>
      <c r="AJ175" s="6" t="s">
        <v>3</v>
      </c>
      <c r="AK175" s="5">
        <f t="shared" si="50"/>
        <v>334.49476338518576</v>
      </c>
      <c r="AL175" s="7">
        <f t="shared" si="51"/>
        <v>-0.17654261338743815</v>
      </c>
      <c r="AM175" s="7">
        <f t="shared" si="52"/>
        <v>0.60240094936097832</v>
      </c>
    </row>
    <row r="176" spans="10:39" x14ac:dyDescent="0.25">
      <c r="J176" s="3">
        <v>170</v>
      </c>
      <c r="K176" s="7">
        <v>-0.33005323653837437</v>
      </c>
      <c r="L176" s="7">
        <f t="shared" si="42"/>
        <v>0.19660120583308888</v>
      </c>
      <c r="M176" s="7">
        <f t="shared" ca="1" si="37"/>
        <v>0.1634610130726564</v>
      </c>
      <c r="N176" s="7">
        <f t="shared" si="38"/>
        <v>-0.33005323653837437</v>
      </c>
      <c r="O176" s="7">
        <v>5.9492041875112381E-2</v>
      </c>
      <c r="P176" s="7">
        <f t="shared" si="39"/>
        <v>0.2193742146694948</v>
      </c>
      <c r="Q176" s="7">
        <f t="shared" si="43"/>
        <v>0.15988217279438244</v>
      </c>
      <c r="R176" s="7">
        <f t="shared" si="40"/>
        <v>-0.1768005741476566</v>
      </c>
      <c r="S176" s="7">
        <f t="shared" si="44"/>
        <v>-1.8903409281821517E-2</v>
      </c>
      <c r="T176" s="7">
        <f t="shared" si="45"/>
        <v>1</v>
      </c>
      <c r="U176" s="7">
        <f t="shared" si="41"/>
        <v>0.60202771048946491</v>
      </c>
      <c r="V176" s="7">
        <f t="shared" si="46"/>
        <v>5.1540888518363491E-2</v>
      </c>
      <c r="W176" s="7">
        <f t="shared" si="47"/>
        <v>0</v>
      </c>
      <c r="X176" s="8" t="s">
        <v>3</v>
      </c>
      <c r="Y176" s="7">
        <v>-0.33005323653837437</v>
      </c>
      <c r="Z176" s="7">
        <v>0.2193742146694948</v>
      </c>
      <c r="AC176" s="7">
        <f t="shared" si="48"/>
        <v>0.3961747888171514</v>
      </c>
      <c r="AD176" s="7">
        <f t="shared" si="49"/>
        <v>0.3826534958199701</v>
      </c>
      <c r="AE176" s="6" t="s">
        <v>3</v>
      </c>
      <c r="AF176" s="6" t="s">
        <v>3</v>
      </c>
      <c r="AG176" s="6" t="s">
        <v>3</v>
      </c>
      <c r="AH176" s="6" t="s">
        <v>3</v>
      </c>
      <c r="AI176" s="6" t="s">
        <v>3</v>
      </c>
      <c r="AJ176" s="6" t="s">
        <v>3</v>
      </c>
      <c r="AK176" s="5">
        <f t="shared" si="50"/>
        <v>334.56887152311725</v>
      </c>
      <c r="AL176" s="7">
        <f t="shared" si="51"/>
        <v>-0.1768005741476566</v>
      </c>
      <c r="AM176" s="7">
        <f t="shared" si="52"/>
        <v>0.60202771048946491</v>
      </c>
    </row>
    <row r="177" spans="10:39" x14ac:dyDescent="0.25">
      <c r="J177" s="3">
        <v>171</v>
      </c>
      <c r="K177" s="7">
        <v>-0.32419388631484547</v>
      </c>
      <c r="L177" s="7">
        <f t="shared" si="42"/>
        <v>0.18350738517013307</v>
      </c>
      <c r="M177" s="7">
        <f t="shared" ca="1" si="37"/>
        <v>0.1248805762857402</v>
      </c>
      <c r="N177" s="7">
        <f t="shared" si="38"/>
        <v>-0.32419388631484547</v>
      </c>
      <c r="O177" s="7">
        <v>0.14903451176680754</v>
      </c>
      <c r="P177" s="7">
        <f t="shared" si="39"/>
        <v>0.20878156354906707</v>
      </c>
      <c r="Q177" s="7">
        <f t="shared" si="43"/>
        <v>5.974705178225953E-2</v>
      </c>
      <c r="R177" s="7">
        <f t="shared" si="40"/>
        <v>-0.18679499455064619</v>
      </c>
      <c r="S177" s="7">
        <f t="shared" si="44"/>
        <v>-2.68663605053963E-2</v>
      </c>
      <c r="T177" s="7">
        <f t="shared" si="45"/>
        <v>1</v>
      </c>
      <c r="U177" s="7">
        <f t="shared" si="41"/>
        <v>0.58740082820987127</v>
      </c>
      <c r="V177" s="7">
        <f t="shared" si="46"/>
        <v>4.1644800062091057E-2</v>
      </c>
      <c r="W177" s="7">
        <f t="shared" si="47"/>
        <v>0</v>
      </c>
      <c r="X177" s="8" t="s">
        <v>3</v>
      </c>
      <c r="Y177" s="7">
        <v>-0.32419388631484547</v>
      </c>
      <c r="Z177" s="7">
        <v>0.20878156354906707</v>
      </c>
      <c r="AC177" s="7">
        <f t="shared" si="48"/>
        <v>0.39557655809971326</v>
      </c>
      <c r="AD177" s="7">
        <f t="shared" si="49"/>
        <v>0.3786192646608042</v>
      </c>
      <c r="AE177" s="6" t="s">
        <v>3</v>
      </c>
      <c r="AF177" s="6" t="s">
        <v>3</v>
      </c>
      <c r="AG177" s="6" t="s">
        <v>3</v>
      </c>
      <c r="AH177" s="6" t="s">
        <v>3</v>
      </c>
      <c r="AI177" s="6" t="s">
        <v>3</v>
      </c>
      <c r="AJ177" s="6" t="s">
        <v>3</v>
      </c>
      <c r="AK177" s="5">
        <f t="shared" si="50"/>
        <v>337.51393652423826</v>
      </c>
      <c r="AL177" s="7">
        <f t="shared" si="51"/>
        <v>-0.18679499455064619</v>
      </c>
      <c r="AM177" s="7">
        <f t="shared" si="52"/>
        <v>0.58740082820987127</v>
      </c>
    </row>
    <row r="178" spans="10:39" x14ac:dyDescent="0.25">
      <c r="J178" s="3">
        <v>172</v>
      </c>
      <c r="K178" s="7">
        <v>-0.3241461268685768</v>
      </c>
      <c r="L178" s="7">
        <f t="shared" si="42"/>
        <v>0.18340320600035559</v>
      </c>
      <c r="M178" s="7">
        <f t="shared" ca="1" si="37"/>
        <v>0.15268011255732178</v>
      </c>
      <c r="N178" s="7">
        <f t="shared" si="38"/>
        <v>-0.3241461268685768</v>
      </c>
      <c r="O178" s="7">
        <v>-6.0038254390689272E-2</v>
      </c>
      <c r="P178" s="7">
        <f t="shared" si="39"/>
        <v>0.20869702762896036</v>
      </c>
      <c r="Q178" s="7">
        <f t="shared" si="43"/>
        <v>0.26873528201964964</v>
      </c>
      <c r="R178" s="7">
        <f t="shared" si="40"/>
        <v>-0.18687442621769357</v>
      </c>
      <c r="S178" s="7">
        <f t="shared" si="44"/>
        <v>-1.0146893746160344E-2</v>
      </c>
      <c r="T178" s="7">
        <f t="shared" si="45"/>
        <v>1</v>
      </c>
      <c r="U178" s="7">
        <f t="shared" si="41"/>
        <v>0.58728324663577491</v>
      </c>
      <c r="V178" s="7">
        <f t="shared" si="46"/>
        <v>6.1495542597514094E-2</v>
      </c>
      <c r="W178" s="7">
        <f t="shared" si="47"/>
        <v>0</v>
      </c>
      <c r="X178" s="8" t="s">
        <v>3</v>
      </c>
      <c r="Y178" s="7">
        <v>-0.3241461268685768</v>
      </c>
      <c r="Z178" s="7">
        <v>0.20869702762896036</v>
      </c>
      <c r="AC178" s="7">
        <f t="shared" si="48"/>
        <v>0.39557145384665393</v>
      </c>
      <c r="AD178" s="7">
        <f t="shared" si="49"/>
        <v>0.37858621900681455</v>
      </c>
      <c r="AE178" s="6" t="s">
        <v>3</v>
      </c>
      <c r="AF178" s="6" t="s">
        <v>3</v>
      </c>
      <c r="AG178" s="6" t="s">
        <v>3</v>
      </c>
      <c r="AH178" s="6" t="s">
        <v>3</v>
      </c>
      <c r="AI178" s="6" t="s">
        <v>3</v>
      </c>
      <c r="AJ178" s="6" t="s">
        <v>3</v>
      </c>
      <c r="AK178" s="5">
        <f t="shared" si="50"/>
        <v>337.53794169005238</v>
      </c>
      <c r="AL178" s="7">
        <f t="shared" si="51"/>
        <v>-0.18687442621769357</v>
      </c>
      <c r="AM178" s="7">
        <f t="shared" si="52"/>
        <v>0.58728324663577491</v>
      </c>
    </row>
    <row r="179" spans="10:39" x14ac:dyDescent="0.25">
      <c r="J179" s="3">
        <v>173</v>
      </c>
      <c r="K179" s="7">
        <v>-0.32255983091968443</v>
      </c>
      <c r="L179" s="7">
        <f t="shared" si="42"/>
        <v>0.17996617673678364</v>
      </c>
      <c r="M179" s="7">
        <f t="shared" ca="1" si="37"/>
        <v>-4.8295528680954464E-2</v>
      </c>
      <c r="N179" s="7">
        <f t="shared" si="38"/>
        <v>-0.32255983091968443</v>
      </c>
      <c r="O179" s="7">
        <v>5.6981149989696306E-2</v>
      </c>
      <c r="P179" s="7">
        <f t="shared" si="39"/>
        <v>0.20590553553733892</v>
      </c>
      <c r="Q179" s="7">
        <f t="shared" si="43"/>
        <v>0.14892438554764262</v>
      </c>
      <c r="R179" s="7">
        <f t="shared" si="40"/>
        <v>-0.1894943224806207</v>
      </c>
      <c r="S179" s="7">
        <f t="shared" si="44"/>
        <v>-1.9718037797625362E-2</v>
      </c>
      <c r="T179" s="7">
        <f t="shared" si="45"/>
        <v>1</v>
      </c>
      <c r="U179" s="7">
        <f t="shared" si="41"/>
        <v>0.5833928669040398</v>
      </c>
      <c r="V179" s="7">
        <f t="shared" si="46"/>
        <v>5.0009113106862638E-2</v>
      </c>
      <c r="W179" s="7">
        <f t="shared" si="47"/>
        <v>0</v>
      </c>
      <c r="X179" s="8" t="s">
        <v>3</v>
      </c>
      <c r="Y179" s="7">
        <v>-0.32255983091968443</v>
      </c>
      <c r="Z179" s="7">
        <v>0.20590553553733892</v>
      </c>
      <c r="AC179" s="7">
        <f t="shared" si="48"/>
        <v>0.39539985801795963</v>
      </c>
      <c r="AD179" s="7">
        <f t="shared" si="49"/>
        <v>0.37748733136670087</v>
      </c>
      <c r="AE179" s="6" t="s">
        <v>3</v>
      </c>
      <c r="AF179" s="6" t="s">
        <v>3</v>
      </c>
      <c r="AG179" s="6" t="s">
        <v>3</v>
      </c>
      <c r="AH179" s="6" t="s">
        <v>3</v>
      </c>
      <c r="AI179" s="6" t="s">
        <v>3</v>
      </c>
      <c r="AJ179" s="6" t="s">
        <v>3</v>
      </c>
      <c r="AK179" s="5">
        <f t="shared" si="50"/>
        <v>338.33525615364988</v>
      </c>
      <c r="AL179" s="7">
        <f t="shared" si="51"/>
        <v>-0.1894943224806207</v>
      </c>
      <c r="AM179" s="7">
        <f t="shared" si="52"/>
        <v>0.5833928669040398</v>
      </c>
    </row>
    <row r="180" spans="10:39" x14ac:dyDescent="0.25">
      <c r="J180" s="3">
        <v>174</v>
      </c>
      <c r="K180" s="7">
        <v>-0.3220156216995087</v>
      </c>
      <c r="L180" s="7">
        <f t="shared" si="42"/>
        <v>0.17879739146904963</v>
      </c>
      <c r="M180" s="7">
        <f t="shared" ca="1" si="37"/>
        <v>-9.1405264447436352E-2</v>
      </c>
      <c r="N180" s="7">
        <f t="shared" si="38"/>
        <v>-0.3220156216995087</v>
      </c>
      <c r="O180" s="7">
        <v>9.3202751766526912E-2</v>
      </c>
      <c r="P180" s="7">
        <f t="shared" si="39"/>
        <v>0.20495512028987628</v>
      </c>
      <c r="Q180" s="7">
        <f t="shared" si="43"/>
        <v>0.11175236852334937</v>
      </c>
      <c r="R180" s="7">
        <f t="shared" si="40"/>
        <v>-0.19038495069481431</v>
      </c>
      <c r="S180" s="7">
        <f t="shared" si="44"/>
        <v>-2.26870161969073E-2</v>
      </c>
      <c r="T180" s="7">
        <f t="shared" si="45"/>
        <v>1</v>
      </c>
      <c r="U180" s="7">
        <f t="shared" si="41"/>
        <v>0.58206490082429441</v>
      </c>
      <c r="V180" s="7">
        <f t="shared" si="46"/>
        <v>4.6441904160487914E-2</v>
      </c>
      <c r="W180" s="7">
        <f t="shared" si="47"/>
        <v>0</v>
      </c>
      <c r="X180" s="8" t="s">
        <v>3</v>
      </c>
      <c r="Y180" s="7">
        <v>-0.3220156216995087</v>
      </c>
      <c r="Z180" s="7">
        <v>0.20495512028987628</v>
      </c>
      <c r="AC180" s="7">
        <f t="shared" si="48"/>
        <v>0.39534007098469059</v>
      </c>
      <c r="AD180" s="7">
        <f t="shared" si="49"/>
        <v>0.37710978053441813</v>
      </c>
      <c r="AE180" s="6" t="s">
        <v>3</v>
      </c>
      <c r="AF180" s="6" t="s">
        <v>3</v>
      </c>
      <c r="AG180" s="6" t="s">
        <v>3</v>
      </c>
      <c r="AH180" s="6" t="s">
        <v>3</v>
      </c>
      <c r="AI180" s="6" t="s">
        <v>3</v>
      </c>
      <c r="AJ180" s="6" t="s">
        <v>3</v>
      </c>
      <c r="AK180" s="5">
        <f t="shared" si="50"/>
        <v>338.60879015767495</v>
      </c>
      <c r="AL180" s="7">
        <f t="shared" si="51"/>
        <v>-0.19038495069481431</v>
      </c>
      <c r="AM180" s="7">
        <f t="shared" si="52"/>
        <v>0.58206490082429441</v>
      </c>
    </row>
    <row r="181" spans="10:39" x14ac:dyDescent="0.25">
      <c r="J181" s="3">
        <v>175</v>
      </c>
      <c r="K181" s="7">
        <v>-0.31953890995282452</v>
      </c>
      <c r="L181" s="7">
        <f t="shared" si="42"/>
        <v>0.17354465280464504</v>
      </c>
      <c r="M181" s="7">
        <f t="shared" ca="1" si="37"/>
        <v>0.44884033465177153</v>
      </c>
      <c r="N181" s="7">
        <f t="shared" si="38"/>
        <v>-0.31953890995282452</v>
      </c>
      <c r="O181" s="7">
        <v>-0.11305630711055341</v>
      </c>
      <c r="P181" s="7">
        <f t="shared" si="39"/>
        <v>0.20067612442907556</v>
      </c>
      <c r="Q181" s="7">
        <f t="shared" si="43"/>
        <v>0.31373243153962899</v>
      </c>
      <c r="R181" s="7">
        <f t="shared" si="40"/>
        <v>-0.19438599140487334</v>
      </c>
      <c r="S181" s="7">
        <f t="shared" si="44"/>
        <v>-6.5063747435455946E-3</v>
      </c>
      <c r="T181" s="7">
        <f t="shared" si="45"/>
        <v>1</v>
      </c>
      <c r="U181" s="7">
        <f t="shared" si="41"/>
        <v>0.57606440890343813</v>
      </c>
      <c r="V181" s="7">
        <f t="shared" si="46"/>
        <v>6.5466468021329188E-2</v>
      </c>
      <c r="W181" s="7">
        <f t="shared" si="47"/>
        <v>0</v>
      </c>
      <c r="X181" s="8" t="s">
        <v>3</v>
      </c>
      <c r="Y181" s="7">
        <v>-0.31953890995282452</v>
      </c>
      <c r="Z181" s="7">
        <v>0.20067612442907556</v>
      </c>
      <c r="AC181" s="7">
        <f t="shared" si="48"/>
        <v>0.3950621158339489</v>
      </c>
      <c r="AD181" s="7">
        <f t="shared" si="49"/>
        <v>0.37538828447436257</v>
      </c>
      <c r="AE181" s="6" t="s">
        <v>3</v>
      </c>
      <c r="AF181" s="6" t="s">
        <v>3</v>
      </c>
      <c r="AG181" s="6" t="s">
        <v>3</v>
      </c>
      <c r="AH181" s="6" t="s">
        <v>3</v>
      </c>
      <c r="AI181" s="6" t="s">
        <v>3</v>
      </c>
      <c r="AJ181" s="6" t="s">
        <v>3</v>
      </c>
      <c r="AK181" s="5">
        <f t="shared" si="50"/>
        <v>339.85365124376165</v>
      </c>
      <c r="AL181" s="7">
        <f t="shared" si="51"/>
        <v>-0.19438599140487334</v>
      </c>
      <c r="AM181" s="7">
        <f t="shared" si="52"/>
        <v>0.57606440890343813</v>
      </c>
    </row>
    <row r="182" spans="10:39" x14ac:dyDescent="0.25">
      <c r="J182" s="3">
        <v>176</v>
      </c>
      <c r="K182" s="7">
        <v>-0.30765345080419371</v>
      </c>
      <c r="L182" s="7">
        <f t="shared" si="42"/>
        <v>0.14982455976835146</v>
      </c>
      <c r="M182" s="7">
        <f t="shared" ca="1" si="37"/>
        <v>0.27669066844082812</v>
      </c>
      <c r="N182" s="7">
        <f t="shared" si="38"/>
        <v>-0.30765345080419371</v>
      </c>
      <c r="O182" s="7">
        <v>0.6648160181142051</v>
      </c>
      <c r="P182" s="7">
        <f t="shared" si="39"/>
        <v>0.1811652641620296</v>
      </c>
      <c r="Q182" s="7">
        <f t="shared" si="43"/>
        <v>-0.48365075395217549</v>
      </c>
      <c r="R182" s="7">
        <f t="shared" si="40"/>
        <v>-0.21243360963953073</v>
      </c>
      <c r="S182" s="7">
        <f t="shared" si="44"/>
        <v>-7.0179970220298871E-2</v>
      </c>
      <c r="T182" s="7">
        <f t="shared" si="45"/>
        <v>1</v>
      </c>
      <c r="U182" s="7">
        <f t="shared" si="41"/>
        <v>0.54824241861368983</v>
      </c>
      <c r="V182" s="7">
        <f t="shared" si="46"/>
        <v>-0.10549910754796632</v>
      </c>
      <c r="W182" s="7">
        <f t="shared" si="47"/>
        <v>1</v>
      </c>
      <c r="X182" s="8" t="s">
        <v>3</v>
      </c>
      <c r="Y182" s="7">
        <v>-0.30765345080419371</v>
      </c>
      <c r="Z182" s="7">
        <v>0.1811652641620296</v>
      </c>
      <c r="AC182" s="7">
        <f t="shared" si="48"/>
        <v>0.39359887380156033</v>
      </c>
      <c r="AD182" s="7">
        <f t="shared" si="49"/>
        <v>0.36707715445166023</v>
      </c>
      <c r="AE182" s="6" t="s">
        <v>3</v>
      </c>
      <c r="AF182" s="6" t="s">
        <v>3</v>
      </c>
      <c r="AG182" s="6" t="s">
        <v>3</v>
      </c>
      <c r="AH182" s="6" t="s">
        <v>3</v>
      </c>
      <c r="AI182" s="6" t="s">
        <v>3</v>
      </c>
      <c r="AJ182" s="6" t="s">
        <v>3</v>
      </c>
      <c r="AK182" s="5">
        <f t="shared" si="50"/>
        <v>345.82759859722859</v>
      </c>
      <c r="AL182" s="7">
        <f t="shared" si="51"/>
        <v>-0.21243360963953073</v>
      </c>
      <c r="AM182" s="7">
        <f t="shared" si="52"/>
        <v>0.54824241861368983</v>
      </c>
    </row>
    <row r="183" spans="10:39" x14ac:dyDescent="0.25">
      <c r="J183" s="3">
        <v>177</v>
      </c>
      <c r="K183" s="7">
        <v>-0.30610390436110824</v>
      </c>
      <c r="L183" s="7">
        <f t="shared" si="42"/>
        <v>0.14690964692033781</v>
      </c>
      <c r="M183" s="7">
        <f t="shared" ca="1" si="37"/>
        <v>-0.15884699392234705</v>
      </c>
      <c r="N183" s="7">
        <f t="shared" si="38"/>
        <v>-0.30610390436110824</v>
      </c>
      <c r="O183" s="7">
        <v>0.62795509635950508</v>
      </c>
      <c r="P183" s="7">
        <f t="shared" si="39"/>
        <v>0.17874201268844558</v>
      </c>
      <c r="Q183" s="7">
        <f t="shared" si="43"/>
        <v>-0.4492130836710595</v>
      </c>
      <c r="R183" s="7">
        <f t="shared" si="40"/>
        <v>-0.21465088221326933</v>
      </c>
      <c r="S183" s="7">
        <f t="shared" si="44"/>
        <v>-6.7408478285821957E-2</v>
      </c>
      <c r="T183" s="7">
        <f t="shared" si="45"/>
        <v>1</v>
      </c>
      <c r="U183" s="7">
        <f t="shared" si="41"/>
        <v>0.54473261371791071</v>
      </c>
      <c r="V183" s="7">
        <f t="shared" si="46"/>
        <v>-7.5316346790642918E-2</v>
      </c>
      <c r="W183" s="7">
        <f t="shared" si="47"/>
        <v>1</v>
      </c>
      <c r="X183" s="8" t="s">
        <v>3</v>
      </c>
      <c r="Y183" s="7">
        <v>-0.30610390436110824</v>
      </c>
      <c r="Z183" s="7">
        <v>0.17874201268844558</v>
      </c>
      <c r="AC183" s="7">
        <f t="shared" si="48"/>
        <v>0.39339289490171492</v>
      </c>
      <c r="AD183" s="7">
        <f t="shared" si="49"/>
        <v>0.36599060102946512</v>
      </c>
      <c r="AE183" s="6" t="s">
        <v>3</v>
      </c>
      <c r="AF183" s="6" t="s">
        <v>3</v>
      </c>
      <c r="AG183" s="6" t="s">
        <v>3</v>
      </c>
      <c r="AH183" s="6" t="s">
        <v>3</v>
      </c>
      <c r="AI183" s="6" t="s">
        <v>3</v>
      </c>
      <c r="AJ183" s="6" t="s">
        <v>3</v>
      </c>
      <c r="AK183" s="5">
        <f t="shared" si="50"/>
        <v>346.60644178342648</v>
      </c>
      <c r="AL183" s="7">
        <f t="shared" si="51"/>
        <v>-0.21465088221326933</v>
      </c>
      <c r="AM183" s="7">
        <f t="shared" si="52"/>
        <v>0.54473261371791071</v>
      </c>
    </row>
    <row r="184" spans="10:39" x14ac:dyDescent="0.25">
      <c r="J184" s="3">
        <v>178</v>
      </c>
      <c r="K184" s="7">
        <v>-0.30200358040911879</v>
      </c>
      <c r="L184" s="7">
        <f t="shared" si="42"/>
        <v>0.1393891152368622</v>
      </c>
      <c r="M184" s="7">
        <f t="shared" ca="1" si="37"/>
        <v>4.9394955144941202E-2</v>
      </c>
      <c r="N184" s="7">
        <f t="shared" si="38"/>
        <v>-0.30200358040911879</v>
      </c>
      <c r="O184" s="7">
        <v>-0.13621409561299519</v>
      </c>
      <c r="P184" s="7">
        <f t="shared" si="39"/>
        <v>0.17245852884711743</v>
      </c>
      <c r="Q184" s="7">
        <f t="shared" si="43"/>
        <v>0.30867262446011262</v>
      </c>
      <c r="R184" s="7">
        <f t="shared" si="40"/>
        <v>-0.22037307360119485</v>
      </c>
      <c r="S184" s="7">
        <f t="shared" si="44"/>
        <v>-6.7327182390559724E-3</v>
      </c>
      <c r="T184" s="7">
        <f t="shared" si="45"/>
        <v>1</v>
      </c>
      <c r="U184" s="7">
        <f t="shared" si="41"/>
        <v>0.53557425785317037</v>
      </c>
      <c r="V184" s="7">
        <f t="shared" si="46"/>
        <v>6.3819893579285719E-2</v>
      </c>
      <c r="W184" s="7">
        <f t="shared" si="47"/>
        <v>0</v>
      </c>
      <c r="X184" s="8" t="s">
        <v>3</v>
      </c>
      <c r="Y184" s="7">
        <v>-0.30200358040911879</v>
      </c>
      <c r="Z184" s="7">
        <v>0.17245852884711743</v>
      </c>
      <c r="AC184" s="7">
        <f t="shared" si="48"/>
        <v>0.39283160244831228</v>
      </c>
      <c r="AD184" s="7">
        <f t="shared" si="49"/>
        <v>0.36311572900605293</v>
      </c>
      <c r="AE184" s="6" t="s">
        <v>3</v>
      </c>
      <c r="AF184" s="6" t="s">
        <v>3</v>
      </c>
      <c r="AG184" s="6" t="s">
        <v>3</v>
      </c>
      <c r="AH184" s="6" t="s">
        <v>3</v>
      </c>
      <c r="AI184" s="6" t="s">
        <v>3</v>
      </c>
      <c r="AJ184" s="6" t="s">
        <v>3</v>
      </c>
      <c r="AK184" s="5">
        <f t="shared" si="50"/>
        <v>348.66737347441341</v>
      </c>
      <c r="AL184" s="7">
        <f t="shared" si="51"/>
        <v>-0.22037307360119485</v>
      </c>
      <c r="AM184" s="7">
        <f t="shared" si="52"/>
        <v>0.53557425785317037</v>
      </c>
    </row>
    <row r="185" spans="10:39" x14ac:dyDescent="0.25">
      <c r="J185" s="3">
        <v>179</v>
      </c>
      <c r="K185" s="7">
        <v>-0.29597575736612813</v>
      </c>
      <c r="L185" s="7">
        <f t="shared" si="42"/>
        <v>0.1288325025163049</v>
      </c>
      <c r="M185" s="7">
        <f t="shared" ca="1" si="37"/>
        <v>-0.30041307225594582</v>
      </c>
      <c r="N185" s="7">
        <f t="shared" si="38"/>
        <v>-0.29597575736612813</v>
      </c>
      <c r="O185" s="7">
        <v>-0.22673682755900879</v>
      </c>
      <c r="P185" s="7">
        <f t="shared" si="39"/>
        <v>0.16355177847156321</v>
      </c>
      <c r="Q185" s="7">
        <f t="shared" si="43"/>
        <v>0.39028860603057203</v>
      </c>
      <c r="R185" s="7">
        <f t="shared" si="40"/>
        <v>-0.22841305051645744</v>
      </c>
      <c r="S185" s="7">
        <f t="shared" si="44"/>
        <v>-1.3409783659589227E-4</v>
      </c>
      <c r="T185" s="7">
        <f t="shared" si="45"/>
        <v>1</v>
      </c>
      <c r="U185" s="7">
        <f t="shared" si="41"/>
        <v>0.52244816785251835</v>
      </c>
      <c r="V185" s="7">
        <f t="shared" si="46"/>
        <v>7.1172574564095079E-2</v>
      </c>
      <c r="W185" s="7">
        <f t="shared" si="47"/>
        <v>0</v>
      </c>
      <c r="X185" s="8" t="s">
        <v>3</v>
      </c>
      <c r="Y185" s="7">
        <v>-0.29597575736612813</v>
      </c>
      <c r="Z185" s="7">
        <v>0.16355177847156321</v>
      </c>
      <c r="AC185" s="7">
        <f t="shared" si="48"/>
        <v>0.39196482898802065</v>
      </c>
      <c r="AD185" s="7">
        <f t="shared" si="49"/>
        <v>0.35889638938095514</v>
      </c>
      <c r="AE185" s="6" t="s">
        <v>3</v>
      </c>
      <c r="AF185" s="6" t="s">
        <v>3</v>
      </c>
      <c r="AG185" s="6" t="s">
        <v>3</v>
      </c>
      <c r="AH185" s="6" t="s">
        <v>3</v>
      </c>
      <c r="AI185" s="6" t="s">
        <v>3</v>
      </c>
      <c r="AJ185" s="6" t="s">
        <v>3</v>
      </c>
      <c r="AK185" s="5">
        <f t="shared" si="50"/>
        <v>351.69711738792381</v>
      </c>
      <c r="AL185" s="7">
        <f t="shared" si="51"/>
        <v>-0.22841305051645744</v>
      </c>
      <c r="AM185" s="7">
        <f t="shared" si="52"/>
        <v>0.52244816785251835</v>
      </c>
    </row>
    <row r="186" spans="10:39" x14ac:dyDescent="0.25">
      <c r="J186" s="3">
        <v>180</v>
      </c>
      <c r="K186" s="7">
        <v>-0.29532017863541093</v>
      </c>
      <c r="L186" s="7">
        <f t="shared" si="42"/>
        <v>0.12771961658231321</v>
      </c>
      <c r="M186" s="7">
        <f t="shared" ca="1" si="37"/>
        <v>0.29747406191725401</v>
      </c>
      <c r="N186" s="7">
        <f t="shared" si="38"/>
        <v>-0.29532017863541093</v>
      </c>
      <c r="O186" s="7">
        <v>0.13241186840206287</v>
      </c>
      <c r="P186" s="7">
        <f t="shared" si="39"/>
        <v>0.1626062310160914</v>
      </c>
      <c r="Q186" s="7">
        <f t="shared" si="43"/>
        <v>3.0194362614028525E-2</v>
      </c>
      <c r="R186" s="7">
        <f t="shared" si="40"/>
        <v>-0.22926141850775128</v>
      </c>
      <c r="S186" s="7">
        <f t="shared" si="44"/>
        <v>-2.8933862952785133E-2</v>
      </c>
      <c r="T186" s="7">
        <f t="shared" si="45"/>
        <v>1</v>
      </c>
      <c r="U186" s="7">
        <f t="shared" si="41"/>
        <v>0.52104463053339201</v>
      </c>
      <c r="V186" s="7">
        <f t="shared" si="46"/>
        <v>3.6920112402476266E-2</v>
      </c>
      <c r="W186" s="7">
        <f t="shared" si="47"/>
        <v>0</v>
      </c>
      <c r="X186" s="8" t="s">
        <v>3</v>
      </c>
      <c r="Y186" s="7">
        <v>-0.29532017863541093</v>
      </c>
      <c r="Z186" s="7">
        <v>0.1626062310160914</v>
      </c>
      <c r="AC186" s="7">
        <f t="shared" si="48"/>
        <v>0.39186764952384268</v>
      </c>
      <c r="AD186" s="7">
        <f t="shared" si="49"/>
        <v>0.35843839951730061</v>
      </c>
      <c r="AE186" s="6" t="s">
        <v>3</v>
      </c>
      <c r="AF186" s="6" t="s">
        <v>3</v>
      </c>
      <c r="AG186" s="6" t="s">
        <v>3</v>
      </c>
      <c r="AH186" s="6" t="s">
        <v>3</v>
      </c>
      <c r="AI186" s="6" t="s">
        <v>3</v>
      </c>
      <c r="AJ186" s="6" t="s">
        <v>3</v>
      </c>
      <c r="AK186" s="5">
        <f t="shared" si="50"/>
        <v>352.02662866505517</v>
      </c>
      <c r="AL186" s="7">
        <f t="shared" si="51"/>
        <v>-0.22926141850775128</v>
      </c>
      <c r="AM186" s="7">
        <f t="shared" si="52"/>
        <v>0.52104463053339201</v>
      </c>
    </row>
    <row r="187" spans="10:39" x14ac:dyDescent="0.25">
      <c r="J187" s="3">
        <v>181</v>
      </c>
      <c r="K187" s="7">
        <v>-0.29502732973033563</v>
      </c>
      <c r="L187" s="7">
        <f t="shared" si="42"/>
        <v>0.12722469658956645</v>
      </c>
      <c r="M187" s="7">
        <f t="shared" ca="1" si="37"/>
        <v>0.23038573140741966</v>
      </c>
      <c r="N187" s="7">
        <f t="shared" si="38"/>
        <v>-0.29502732973033563</v>
      </c>
      <c r="O187" s="7">
        <v>-7.265870596355431E-2</v>
      </c>
      <c r="P187" s="7">
        <f t="shared" si="39"/>
        <v>0.16218529571161877</v>
      </c>
      <c r="Q187" s="7">
        <f t="shared" si="43"/>
        <v>0.23484400167517308</v>
      </c>
      <c r="R187" s="7">
        <f t="shared" si="40"/>
        <v>-0.22963876211595302</v>
      </c>
      <c r="S187" s="7">
        <f t="shared" si="44"/>
        <v>-1.2558404492191897E-2</v>
      </c>
      <c r="T187" s="7">
        <f t="shared" si="45"/>
        <v>1</v>
      </c>
      <c r="U187" s="7">
        <f t="shared" si="41"/>
        <v>0.52041918306773871</v>
      </c>
      <c r="V187" s="7">
        <f t="shared" si="46"/>
        <v>5.6342399457972835E-2</v>
      </c>
      <c r="W187" s="7">
        <f t="shared" si="47"/>
        <v>0</v>
      </c>
      <c r="X187" s="8" t="s">
        <v>3</v>
      </c>
      <c r="Y187" s="7">
        <v>-0.29502732973033563</v>
      </c>
      <c r="Z187" s="7">
        <v>0.16218529571161877</v>
      </c>
      <c r="AC187" s="7">
        <f t="shared" si="48"/>
        <v>0.39182405782757179</v>
      </c>
      <c r="AD187" s="7">
        <f t="shared" si="49"/>
        <v>0.35823388735611994</v>
      </c>
      <c r="AE187" s="6" t="s">
        <v>3</v>
      </c>
      <c r="AF187" s="6" t="s">
        <v>3</v>
      </c>
      <c r="AG187" s="6" t="s">
        <v>3</v>
      </c>
      <c r="AH187" s="6" t="s">
        <v>3</v>
      </c>
      <c r="AI187" s="6" t="s">
        <v>3</v>
      </c>
      <c r="AJ187" s="6" t="s">
        <v>3</v>
      </c>
      <c r="AK187" s="5">
        <f t="shared" si="50"/>
        <v>352.17382230053551</v>
      </c>
      <c r="AL187" s="7">
        <f t="shared" si="51"/>
        <v>-0.22963876211595302</v>
      </c>
      <c r="AM187" s="7">
        <f t="shared" si="52"/>
        <v>0.52041918306773871</v>
      </c>
    </row>
    <row r="188" spans="10:39" x14ac:dyDescent="0.25">
      <c r="J188" s="3">
        <v>182</v>
      </c>
      <c r="K188" s="7">
        <v>-0.29420239520188263</v>
      </c>
      <c r="L188" s="7">
        <f t="shared" si="42"/>
        <v>0.12583785630866212</v>
      </c>
      <c r="M188" s="7">
        <f t="shared" ca="1" si="37"/>
        <v>-0.36023592955776573</v>
      </c>
      <c r="N188" s="7">
        <f t="shared" si="38"/>
        <v>-0.29420239520188263</v>
      </c>
      <c r="O188" s="7">
        <v>3.5404100679446299E-2</v>
      </c>
      <c r="P188" s="7">
        <f t="shared" si="39"/>
        <v>0.16100432359946293</v>
      </c>
      <c r="Q188" s="7">
        <f t="shared" si="43"/>
        <v>0.12560022292001663</v>
      </c>
      <c r="R188" s="7">
        <f t="shared" si="40"/>
        <v>-0.23069634007316164</v>
      </c>
      <c r="S188" s="7">
        <f t="shared" si="44"/>
        <v>-2.128803526020864E-2</v>
      </c>
      <c r="T188" s="7">
        <f t="shared" si="45"/>
        <v>1</v>
      </c>
      <c r="U188" s="7">
        <f t="shared" si="41"/>
        <v>0.51866237133944804</v>
      </c>
      <c r="V188" s="7">
        <f t="shared" si="46"/>
        <v>4.5909535712700164E-2</v>
      </c>
      <c r="W188" s="7">
        <f t="shared" si="47"/>
        <v>0</v>
      </c>
      <c r="X188" s="8" t="s">
        <v>3</v>
      </c>
      <c r="Y188" s="7">
        <v>-0.29420239520188263</v>
      </c>
      <c r="Z188" s="7">
        <v>0.16100432359946293</v>
      </c>
      <c r="AC188" s="7">
        <f t="shared" si="48"/>
        <v>0.39170066367262457</v>
      </c>
      <c r="AD188" s="7">
        <f t="shared" si="49"/>
        <v>0.35765804773998511</v>
      </c>
      <c r="AE188" s="6" t="s">
        <v>3</v>
      </c>
      <c r="AF188" s="6" t="s">
        <v>3</v>
      </c>
      <c r="AG188" s="6" t="s">
        <v>3</v>
      </c>
      <c r="AH188" s="6" t="s">
        <v>3</v>
      </c>
      <c r="AI188" s="6" t="s">
        <v>3</v>
      </c>
      <c r="AJ188" s="6" t="s">
        <v>3</v>
      </c>
      <c r="AK188" s="5">
        <f t="shared" si="50"/>
        <v>352.5884562983818</v>
      </c>
      <c r="AL188" s="7">
        <f t="shared" si="51"/>
        <v>-0.23069634007316164</v>
      </c>
      <c r="AM188" s="7">
        <f t="shared" si="52"/>
        <v>0.51866237133944804</v>
      </c>
    </row>
    <row r="189" spans="10:39" x14ac:dyDescent="0.25">
      <c r="J189" s="3">
        <v>183</v>
      </c>
      <c r="K189" s="7">
        <v>-0.2899873559530004</v>
      </c>
      <c r="L189" s="7">
        <f t="shared" si="42"/>
        <v>0.11891879198718945</v>
      </c>
      <c r="M189" s="7">
        <f t="shared" ca="1" si="37"/>
        <v>-4.996282537134325E-2</v>
      </c>
      <c r="N189" s="7">
        <f t="shared" si="38"/>
        <v>-0.2899873559530004</v>
      </c>
      <c r="O189" s="7">
        <v>0.3271410788621249</v>
      </c>
      <c r="P189" s="7">
        <f t="shared" si="39"/>
        <v>0.15507870988787387</v>
      </c>
      <c r="Q189" s="7">
        <f t="shared" si="43"/>
        <v>-0.17206236897425103</v>
      </c>
      <c r="R189" s="7">
        <f t="shared" si="40"/>
        <v>-0.23597783606879297</v>
      </c>
      <c r="S189" s="7">
        <f t="shared" si="44"/>
        <v>-4.5049513194473437E-2</v>
      </c>
      <c r="T189" s="7">
        <f t="shared" si="45"/>
        <v>1</v>
      </c>
      <c r="U189" s="7">
        <f t="shared" si="41"/>
        <v>0.50980131712596632</v>
      </c>
      <c r="V189" s="7">
        <f t="shared" si="46"/>
        <v>1.7352722635064936E-2</v>
      </c>
      <c r="W189" s="7">
        <f t="shared" si="47"/>
        <v>0</v>
      </c>
      <c r="X189" s="8" t="s">
        <v>3</v>
      </c>
      <c r="Y189" s="7">
        <v>-0.2899873559530004</v>
      </c>
      <c r="Z189" s="7">
        <v>0.15507870988787387</v>
      </c>
      <c r="AC189" s="7">
        <f t="shared" si="48"/>
        <v>0.39105654595666683</v>
      </c>
      <c r="AD189" s="7">
        <f t="shared" si="49"/>
        <v>0.35472260723809246</v>
      </c>
      <c r="AE189" s="6" t="s">
        <v>3</v>
      </c>
      <c r="AF189" s="6" t="s">
        <v>3</v>
      </c>
      <c r="AG189" s="6" t="s">
        <v>3</v>
      </c>
      <c r="AH189" s="6" t="s">
        <v>3</v>
      </c>
      <c r="AI189" s="6" t="s">
        <v>3</v>
      </c>
      <c r="AJ189" s="6" t="s">
        <v>3</v>
      </c>
      <c r="AK189" s="5">
        <f t="shared" si="50"/>
        <v>354.70704694353316</v>
      </c>
      <c r="AL189" s="7">
        <f t="shared" si="51"/>
        <v>-0.23597783606879297</v>
      </c>
      <c r="AM189" s="7">
        <f t="shared" si="52"/>
        <v>0.50980131712596632</v>
      </c>
    </row>
    <row r="190" spans="10:39" x14ac:dyDescent="0.25">
      <c r="J190" s="3">
        <v>184</v>
      </c>
      <c r="K190" s="7">
        <v>-0.28912120951840992</v>
      </c>
      <c r="L190" s="7">
        <f t="shared" si="42"/>
        <v>0.11753127153899494</v>
      </c>
      <c r="M190" s="7">
        <f t="shared" ca="1" si="37"/>
        <v>9.9010211133456275E-2</v>
      </c>
      <c r="N190" s="7">
        <f t="shared" si="38"/>
        <v>-0.28912120951840992</v>
      </c>
      <c r="O190" s="7">
        <v>7.9687440590597514E-2</v>
      </c>
      <c r="P190" s="7">
        <f t="shared" si="39"/>
        <v>0.15388325550230686</v>
      </c>
      <c r="Q190" s="7">
        <f t="shared" si="43"/>
        <v>7.4195814911709346E-2</v>
      </c>
      <c r="R190" s="7">
        <f t="shared" si="40"/>
        <v>-0.2370381484456443</v>
      </c>
      <c r="S190" s="7">
        <f t="shared" si="44"/>
        <v>-2.5338047122899346E-2</v>
      </c>
      <c r="T190" s="7">
        <f t="shared" si="45"/>
        <v>1</v>
      </c>
      <c r="U190" s="7">
        <f t="shared" si="41"/>
        <v>0.50800428760581129</v>
      </c>
      <c r="V190" s="7">
        <f t="shared" si="46"/>
        <v>4.0690100466445306E-2</v>
      </c>
      <c r="W190" s="7">
        <f t="shared" si="47"/>
        <v>0</v>
      </c>
      <c r="X190" s="8" t="s">
        <v>3</v>
      </c>
      <c r="Y190" s="7">
        <v>-0.28912120951840992</v>
      </c>
      <c r="Z190" s="7">
        <v>0.15388325550230686</v>
      </c>
      <c r="AC190" s="7">
        <f t="shared" si="48"/>
        <v>0.39092140394795116</v>
      </c>
      <c r="AD190" s="7">
        <f t="shared" si="49"/>
        <v>0.35412103210350443</v>
      </c>
      <c r="AE190" s="6" t="s">
        <v>3</v>
      </c>
      <c r="AF190" s="6" t="s">
        <v>3</v>
      </c>
      <c r="AG190" s="6" t="s">
        <v>3</v>
      </c>
      <c r="AH190" s="6" t="s">
        <v>3</v>
      </c>
      <c r="AI190" s="6" t="s">
        <v>3</v>
      </c>
      <c r="AJ190" s="6" t="s">
        <v>3</v>
      </c>
      <c r="AK190" s="5">
        <f t="shared" si="50"/>
        <v>355.14239513967192</v>
      </c>
      <c r="AL190" s="7">
        <f t="shared" si="51"/>
        <v>-0.2370381484456443</v>
      </c>
      <c r="AM190" s="7">
        <f t="shared" si="52"/>
        <v>0.50800428760581129</v>
      </c>
    </row>
    <row r="191" spans="10:39" x14ac:dyDescent="0.25">
      <c r="J191" s="3">
        <v>185</v>
      </c>
      <c r="K191" s="7">
        <v>-0.2868636791718393</v>
      </c>
      <c r="L191" s="7">
        <f t="shared" si="42"/>
        <v>0.11396907609854989</v>
      </c>
      <c r="M191" s="7">
        <f t="shared" ca="1" si="37"/>
        <v>0.38352589037998064</v>
      </c>
      <c r="N191" s="7">
        <f t="shared" si="38"/>
        <v>-0.2868636791718393</v>
      </c>
      <c r="O191" s="7">
        <v>0.27878977956622664</v>
      </c>
      <c r="P191" s="7">
        <f t="shared" si="39"/>
        <v>0.15080238205316165</v>
      </c>
      <c r="Q191" s="7">
        <f t="shared" si="43"/>
        <v>-0.12798739751306498</v>
      </c>
      <c r="R191" s="7">
        <f t="shared" si="40"/>
        <v>-0.23976240943983385</v>
      </c>
      <c r="S191" s="7">
        <f t="shared" si="44"/>
        <v>-4.1484175120484842E-2</v>
      </c>
      <c r="T191" s="7">
        <f t="shared" si="45"/>
        <v>1</v>
      </c>
      <c r="U191" s="7">
        <f t="shared" si="41"/>
        <v>0.50335848653201554</v>
      </c>
      <c r="V191" s="7">
        <f t="shared" si="46"/>
        <v>2.1334027161749945E-2</v>
      </c>
      <c r="W191" s="7">
        <f t="shared" si="47"/>
        <v>0</v>
      </c>
      <c r="X191" s="8" t="s">
        <v>3</v>
      </c>
      <c r="Y191" s="7">
        <v>-0.2868636791718393</v>
      </c>
      <c r="Z191" s="7">
        <v>0.15080238205316165</v>
      </c>
      <c r="AC191" s="7">
        <f t="shared" si="48"/>
        <v>0.3905647914929955</v>
      </c>
      <c r="AD191" s="7">
        <f t="shared" si="49"/>
        <v>0.35255610447885388</v>
      </c>
      <c r="AE191" s="6" t="s">
        <v>3</v>
      </c>
      <c r="AF191" s="6" t="s">
        <v>3</v>
      </c>
      <c r="AG191" s="6" t="s">
        <v>3</v>
      </c>
      <c r="AH191" s="6" t="s">
        <v>3</v>
      </c>
      <c r="AI191" s="6" t="s">
        <v>3</v>
      </c>
      <c r="AJ191" s="6" t="s">
        <v>3</v>
      </c>
      <c r="AK191" s="5">
        <f t="shared" si="50"/>
        <v>356.27708983430813</v>
      </c>
      <c r="AL191" s="7">
        <f t="shared" si="51"/>
        <v>-0.23976240943983385</v>
      </c>
      <c r="AM191" s="7">
        <f t="shared" si="52"/>
        <v>0.50335848653201554</v>
      </c>
    </row>
    <row r="192" spans="10:39" x14ac:dyDescent="0.25">
      <c r="J192" s="3">
        <v>186</v>
      </c>
      <c r="K192" s="7">
        <v>-0.2777188273303044</v>
      </c>
      <c r="L192" s="7">
        <f t="shared" si="42"/>
        <v>0.10032461038004654</v>
      </c>
      <c r="M192" s="7">
        <f t="shared" ca="1" si="37"/>
        <v>0.46148460327533203</v>
      </c>
      <c r="N192" s="7">
        <f t="shared" si="38"/>
        <v>-0.2777188273303044</v>
      </c>
      <c r="O192" s="7">
        <v>-5.1539057373055308E-2</v>
      </c>
      <c r="P192" s="7">
        <f t="shared" si="39"/>
        <v>0.13882493546022534</v>
      </c>
      <c r="Q192" s="7">
        <f t="shared" si="43"/>
        <v>0.19036399283328065</v>
      </c>
      <c r="R192" s="7">
        <f t="shared" si="40"/>
        <v>-0.25023252379262129</v>
      </c>
      <c r="S192" s="7">
        <f t="shared" si="44"/>
        <v>-1.589547731356528E-2</v>
      </c>
      <c r="T192" s="7">
        <f t="shared" si="45"/>
        <v>1</v>
      </c>
      <c r="U192" s="7">
        <f t="shared" si="41"/>
        <v>0.48509654571427552</v>
      </c>
      <c r="V192" s="7">
        <f t="shared" si="46"/>
        <v>5.0980382293296427E-2</v>
      </c>
      <c r="W192" s="7">
        <f t="shared" si="47"/>
        <v>0</v>
      </c>
      <c r="X192" s="8" t="s">
        <v>3</v>
      </c>
      <c r="Y192" s="7">
        <v>-0.2777188273303044</v>
      </c>
      <c r="Z192" s="7">
        <v>0.13882493546022534</v>
      </c>
      <c r="AC192" s="7">
        <f t="shared" si="48"/>
        <v>0.38905745925284663</v>
      </c>
      <c r="AD192" s="7">
        <f t="shared" si="49"/>
        <v>0.34627161025405018</v>
      </c>
      <c r="AE192" s="6" t="s">
        <v>3</v>
      </c>
      <c r="AF192" s="6" t="s">
        <v>3</v>
      </c>
      <c r="AG192" s="6" t="s">
        <v>3</v>
      </c>
      <c r="AH192" s="6" t="s">
        <v>3</v>
      </c>
      <c r="AI192" s="6" t="s">
        <v>3</v>
      </c>
      <c r="AJ192" s="6" t="s">
        <v>3</v>
      </c>
      <c r="AK192" s="5">
        <f t="shared" si="50"/>
        <v>360.87353518601145</v>
      </c>
      <c r="AL192" s="7">
        <f t="shared" si="51"/>
        <v>-0.25023252379262129</v>
      </c>
      <c r="AM192" s="7">
        <f t="shared" si="52"/>
        <v>0.48509654571427552</v>
      </c>
    </row>
    <row r="193" spans="10:39" x14ac:dyDescent="0.25">
      <c r="J193" s="3">
        <v>187</v>
      </c>
      <c r="K193" s="7">
        <v>-0.26298414402517101</v>
      </c>
      <c r="L193" s="7">
        <f t="shared" si="42"/>
        <v>8.0867038556654225E-2</v>
      </c>
      <c r="M193" s="7">
        <f t="shared" ca="1" si="37"/>
        <v>0.31719964416134117</v>
      </c>
      <c r="N193" s="7">
        <f t="shared" si="38"/>
        <v>-0.26298414402517101</v>
      </c>
      <c r="O193" s="7">
        <v>0.32456545845390383</v>
      </c>
      <c r="P193" s="7">
        <f t="shared" si="39"/>
        <v>0.12112283292782955</v>
      </c>
      <c r="Q193" s="7">
        <f t="shared" si="43"/>
        <v>-0.20344262552607428</v>
      </c>
      <c r="R193" s="7">
        <f t="shared" si="40"/>
        <v>-0.26530783461231877</v>
      </c>
      <c r="S193" s="7">
        <f t="shared" si="44"/>
        <v>-4.7189863445297811E-2</v>
      </c>
      <c r="T193" s="7">
        <f t="shared" si="45"/>
        <v>1</v>
      </c>
      <c r="U193" s="7">
        <f t="shared" si="41"/>
        <v>0.45752379462926207</v>
      </c>
      <c r="V193" s="7">
        <f t="shared" si="46"/>
        <v>1.2631041936659032E-2</v>
      </c>
      <c r="W193" s="7">
        <f t="shared" si="47"/>
        <v>0</v>
      </c>
      <c r="X193" s="8" t="s">
        <v>3</v>
      </c>
      <c r="Y193" s="7">
        <v>-0.26298414402517101</v>
      </c>
      <c r="Z193" s="7">
        <v>0.12112283292782955</v>
      </c>
      <c r="AC193" s="7">
        <f t="shared" si="48"/>
        <v>0.38643066754014832</v>
      </c>
      <c r="AD193" s="7">
        <f t="shared" si="49"/>
        <v>0.33640096170143252</v>
      </c>
      <c r="AE193" s="6" t="s">
        <v>3</v>
      </c>
      <c r="AF193" s="6" t="s">
        <v>3</v>
      </c>
      <c r="AG193" s="6" t="s">
        <v>3</v>
      </c>
      <c r="AH193" s="6" t="s">
        <v>3</v>
      </c>
      <c r="AI193" s="6" t="s">
        <v>3</v>
      </c>
      <c r="AJ193" s="6" t="s">
        <v>3</v>
      </c>
      <c r="AK193" s="5">
        <f t="shared" si="50"/>
        <v>368.27957825377246</v>
      </c>
      <c r="AL193" s="7">
        <f t="shared" si="51"/>
        <v>-0.26530783461231877</v>
      </c>
      <c r="AM193" s="7">
        <f t="shared" si="52"/>
        <v>0.45752379462926207</v>
      </c>
    </row>
    <row r="194" spans="10:39" x14ac:dyDescent="0.25">
      <c r="J194" s="3">
        <v>188</v>
      </c>
      <c r="K194" s="7">
        <v>-0.25258275020520071</v>
      </c>
      <c r="L194" s="7">
        <f t="shared" si="42"/>
        <v>6.8887494786446207E-2</v>
      </c>
      <c r="M194" s="7">
        <f t="shared" ca="1" si="37"/>
        <v>0.16523347720699361</v>
      </c>
      <c r="N194" s="7">
        <f t="shared" si="38"/>
        <v>-0.25258275020520071</v>
      </c>
      <c r="O194" s="7">
        <v>-6.5406366062789462E-2</v>
      </c>
      <c r="P194" s="7">
        <f t="shared" si="39"/>
        <v>0.10972183029172422</v>
      </c>
      <c r="Q194" s="7">
        <f t="shared" si="43"/>
        <v>0.17512819635451368</v>
      </c>
      <c r="R194" s="7">
        <f t="shared" si="40"/>
        <v>-0.27472005166614277</v>
      </c>
      <c r="S194" s="7">
        <f t="shared" si="44"/>
        <v>-1.6745094848268267E-2</v>
      </c>
      <c r="T194" s="7">
        <f t="shared" si="45"/>
        <v>1</v>
      </c>
      <c r="U194" s="7">
        <f t="shared" si="41"/>
        <v>0.43941202924170497</v>
      </c>
      <c r="V194" s="7">
        <f t="shared" si="46"/>
        <v>4.7957747553926976E-2</v>
      </c>
      <c r="W194" s="7">
        <f t="shared" si="47"/>
        <v>0</v>
      </c>
      <c r="X194" s="8" t="s">
        <v>3</v>
      </c>
      <c r="Y194" s="7">
        <v>-0.25258275020520071</v>
      </c>
      <c r="Z194" s="7">
        <v>0.10972183029172422</v>
      </c>
      <c r="AC194" s="7">
        <f t="shared" si="48"/>
        <v>0.38444188195786699</v>
      </c>
      <c r="AD194" s="7">
        <f t="shared" si="49"/>
        <v>0.32969019894998075</v>
      </c>
      <c r="AE194" s="6" t="s">
        <v>3</v>
      </c>
      <c r="AF194" s="6" t="s">
        <v>3</v>
      </c>
      <c r="AG194" s="6" t="s">
        <v>3</v>
      </c>
      <c r="AH194" s="6" t="s">
        <v>3</v>
      </c>
      <c r="AI194" s="6" t="s">
        <v>3</v>
      </c>
      <c r="AJ194" s="6" t="s">
        <v>3</v>
      </c>
      <c r="AK194" s="5">
        <f t="shared" si="50"/>
        <v>373.50759496782058</v>
      </c>
      <c r="AL194" s="7">
        <f t="shared" si="51"/>
        <v>-0.27472005166614277</v>
      </c>
      <c r="AM194" s="7">
        <f t="shared" si="52"/>
        <v>0.43941202924170497</v>
      </c>
    </row>
    <row r="195" spans="10:39" x14ac:dyDescent="0.25">
      <c r="J195" s="3">
        <v>189</v>
      </c>
      <c r="K195" s="7">
        <v>-0.25236151769494386</v>
      </c>
      <c r="L195" s="7">
        <f t="shared" si="42"/>
        <v>6.8647656972222248E-2</v>
      </c>
      <c r="M195" s="7">
        <f t="shared" ca="1" si="37"/>
        <v>0.11522465382833921</v>
      </c>
      <c r="N195" s="7">
        <f t="shared" si="38"/>
        <v>-0.25236151769494386</v>
      </c>
      <c r="O195" s="7">
        <v>0.12524739693112014</v>
      </c>
      <c r="P195" s="7">
        <f t="shared" si="39"/>
        <v>0.10948860845213293</v>
      </c>
      <c r="Q195" s="7">
        <f t="shared" si="43"/>
        <v>-1.5758788478987207E-2</v>
      </c>
      <c r="R195" s="7">
        <f t="shared" si="40"/>
        <v>-0.2749098444500202</v>
      </c>
      <c r="S195" s="7">
        <f t="shared" si="44"/>
        <v>-3.2012579310491229E-2</v>
      </c>
      <c r="T195" s="7">
        <f t="shared" si="45"/>
        <v>1</v>
      </c>
      <c r="U195" s="7">
        <f t="shared" si="41"/>
        <v>0.43903882943323502</v>
      </c>
      <c r="V195" s="7">
        <f t="shared" si="46"/>
        <v>2.9810186087700915E-2</v>
      </c>
      <c r="W195" s="7">
        <f t="shared" si="47"/>
        <v>0</v>
      </c>
      <c r="X195" s="8" t="s">
        <v>3</v>
      </c>
      <c r="Y195" s="7">
        <v>-0.25236151769494386</v>
      </c>
      <c r="Z195" s="7">
        <v>0.10948860845213293</v>
      </c>
      <c r="AC195" s="7">
        <f t="shared" si="48"/>
        <v>0.38439845290215313</v>
      </c>
      <c r="AD195" s="7">
        <f t="shared" si="49"/>
        <v>0.32955022098110209</v>
      </c>
      <c r="AE195" s="6" t="s">
        <v>3</v>
      </c>
      <c r="AF195" s="6" t="s">
        <v>3</v>
      </c>
      <c r="AG195" s="6" t="s">
        <v>3</v>
      </c>
      <c r="AH195" s="6" t="s">
        <v>3</v>
      </c>
      <c r="AI195" s="6" t="s">
        <v>3</v>
      </c>
      <c r="AJ195" s="6" t="s">
        <v>3</v>
      </c>
      <c r="AK195" s="5">
        <f t="shared" si="50"/>
        <v>373.61879230169069</v>
      </c>
      <c r="AL195" s="7">
        <f t="shared" si="51"/>
        <v>-0.2749098444500202</v>
      </c>
      <c r="AM195" s="7">
        <f t="shared" si="52"/>
        <v>0.43903882943323502</v>
      </c>
    </row>
    <row r="196" spans="10:39" x14ac:dyDescent="0.25">
      <c r="J196" s="3">
        <v>190</v>
      </c>
      <c r="K196" s="7">
        <v>-0.24840836269185473</v>
      </c>
      <c r="L196" s="7">
        <f t="shared" si="42"/>
        <v>6.4463770862234121E-2</v>
      </c>
      <c r="M196" s="7">
        <f t="shared" ca="1" si="37"/>
        <v>3.4227148974653482E-2</v>
      </c>
      <c r="N196" s="7">
        <f t="shared" si="38"/>
        <v>-0.24840836269185473</v>
      </c>
      <c r="O196" s="7">
        <v>0.3153396038885426</v>
      </c>
      <c r="P196" s="7">
        <f t="shared" si="39"/>
        <v>0.10538413384094225</v>
      </c>
      <c r="Q196" s="7">
        <f t="shared" si="43"/>
        <v>-0.20995547004760035</v>
      </c>
      <c r="R196" s="7">
        <f t="shared" si="40"/>
        <v>-0.27823068109656024</v>
      </c>
      <c r="S196" s="7">
        <f t="shared" si="44"/>
        <v>-4.7485622798808226E-2</v>
      </c>
      <c r="T196" s="7">
        <f t="shared" si="45"/>
        <v>1</v>
      </c>
      <c r="U196" s="7">
        <f t="shared" si="41"/>
        <v>0.43245429824660953</v>
      </c>
      <c r="V196" s="7">
        <f t="shared" si="46"/>
        <v>1.1125895964016358E-2</v>
      </c>
      <c r="W196" s="7">
        <f t="shared" si="47"/>
        <v>0</v>
      </c>
      <c r="X196" s="8" t="s">
        <v>3</v>
      </c>
      <c r="Y196" s="7">
        <v>-0.24840836269185473</v>
      </c>
      <c r="Z196" s="7">
        <v>0.10538413384094225</v>
      </c>
      <c r="AC196" s="7">
        <f t="shared" si="48"/>
        <v>0.38361481493750249</v>
      </c>
      <c r="AD196" s="7">
        <f t="shared" si="49"/>
        <v>0.32707016440566727</v>
      </c>
      <c r="AE196" s="6" t="s">
        <v>3</v>
      </c>
      <c r="AF196" s="6" t="s">
        <v>3</v>
      </c>
      <c r="AG196" s="6" t="s">
        <v>3</v>
      </c>
      <c r="AH196" s="6" t="s">
        <v>3</v>
      </c>
      <c r="AI196" s="6" t="s">
        <v>3</v>
      </c>
      <c r="AJ196" s="6" t="s">
        <v>3</v>
      </c>
      <c r="AK196" s="5">
        <f t="shared" si="50"/>
        <v>375.60575297129759</v>
      </c>
      <c r="AL196" s="7">
        <f t="shared" si="51"/>
        <v>-0.27823068109656024</v>
      </c>
      <c r="AM196" s="7">
        <f t="shared" si="52"/>
        <v>0.43245429824660953</v>
      </c>
    </row>
    <row r="197" spans="10:39" x14ac:dyDescent="0.25">
      <c r="J197" s="3">
        <v>191</v>
      </c>
      <c r="K197" s="7">
        <v>-0.24606972013899719</v>
      </c>
      <c r="L197" s="7">
        <f t="shared" si="42"/>
        <v>6.2078003272887761E-2</v>
      </c>
      <c r="M197" s="7">
        <f t="shared" ca="1" si="37"/>
        <v>-1.2172611311815955E-2</v>
      </c>
      <c r="N197" s="7">
        <f t="shared" si="38"/>
        <v>-0.24606972013899719</v>
      </c>
      <c r="O197" s="7">
        <v>6.6940969895304667E-2</v>
      </c>
      <c r="P197" s="7">
        <f t="shared" si="39"/>
        <v>0.10301122478779323</v>
      </c>
      <c r="Q197" s="7">
        <f t="shared" si="43"/>
        <v>3.6070254892488565E-2</v>
      </c>
      <c r="R197" s="7">
        <f t="shared" si="40"/>
        <v>-0.28013333059976997</v>
      </c>
      <c r="S197" s="7">
        <f t="shared" si="44"/>
        <v>-2.7765944039605972E-2</v>
      </c>
      <c r="T197" s="7">
        <f t="shared" si="45"/>
        <v>1</v>
      </c>
      <c r="U197" s="7">
        <f t="shared" si="41"/>
        <v>0.4286338364652349</v>
      </c>
      <c r="V197" s="7">
        <f t="shared" si="46"/>
        <v>3.4360822324143371E-2</v>
      </c>
      <c r="W197" s="7">
        <f t="shared" si="47"/>
        <v>0</v>
      </c>
      <c r="X197" s="8" t="s">
        <v>3</v>
      </c>
      <c r="Y197" s="7">
        <v>-0.24606972013899719</v>
      </c>
      <c r="Z197" s="7">
        <v>0.10301122478779323</v>
      </c>
      <c r="AC197" s="7">
        <f t="shared" si="48"/>
        <v>0.3831445553875632</v>
      </c>
      <c r="AD197" s="7">
        <f t="shared" si="49"/>
        <v>0.32562261167744166</v>
      </c>
      <c r="AE197" s="6" t="s">
        <v>3</v>
      </c>
      <c r="AF197" s="6" t="s">
        <v>3</v>
      </c>
      <c r="AG197" s="6" t="s">
        <v>3</v>
      </c>
      <c r="AH197" s="6" t="s">
        <v>3</v>
      </c>
      <c r="AI197" s="6" t="s">
        <v>3</v>
      </c>
      <c r="AJ197" s="6" t="s">
        <v>3</v>
      </c>
      <c r="AK197" s="5">
        <f t="shared" si="50"/>
        <v>376.78121681452302</v>
      </c>
      <c r="AL197" s="7">
        <f t="shared" si="51"/>
        <v>-0.28013333059976997</v>
      </c>
      <c r="AM197" s="7">
        <f t="shared" si="52"/>
        <v>0.4286338364652349</v>
      </c>
    </row>
    <row r="198" spans="10:39" x14ac:dyDescent="0.25">
      <c r="J198" s="3">
        <v>192</v>
      </c>
      <c r="K198" s="7">
        <v>-0.23918559160278896</v>
      </c>
      <c r="L198" s="7">
        <f t="shared" si="42"/>
        <v>5.5429181700434565E-2</v>
      </c>
      <c r="M198" s="7">
        <f t="shared" ca="1" si="37"/>
        <v>-0.11669406663864004</v>
      </c>
      <c r="N198" s="7">
        <f t="shared" si="38"/>
        <v>-0.23918559160278896</v>
      </c>
      <c r="O198" s="7">
        <v>0.30429073962185327</v>
      </c>
      <c r="P198" s="7">
        <f t="shared" si="39"/>
        <v>9.6257425240998007E-2</v>
      </c>
      <c r="Q198" s="7">
        <f t="shared" si="43"/>
        <v>-0.20803331438085526</v>
      </c>
      <c r="R198" s="7">
        <f t="shared" si="40"/>
        <v>-0.28547511652277535</v>
      </c>
      <c r="S198" s="7">
        <f t="shared" si="44"/>
        <v>-4.718126849157029E-2</v>
      </c>
      <c r="T198" s="7">
        <f t="shared" si="45"/>
        <v>1</v>
      </c>
      <c r="U198" s="7">
        <f t="shared" si="41"/>
        <v>0.41771016016829732</v>
      </c>
      <c r="V198" s="7">
        <f t="shared" si="46"/>
        <v>1.0774844951912185E-2</v>
      </c>
      <c r="W198" s="7">
        <f t="shared" si="47"/>
        <v>0</v>
      </c>
      <c r="X198" s="8" t="s">
        <v>3</v>
      </c>
      <c r="Y198" s="7">
        <v>-0.23918559160278896</v>
      </c>
      <c r="Z198" s="7">
        <v>9.6257425240998007E-2</v>
      </c>
      <c r="AC198" s="7">
        <f t="shared" si="48"/>
        <v>0.38173254176377336</v>
      </c>
      <c r="AD198" s="7">
        <f t="shared" si="49"/>
        <v>0.32145273492729931</v>
      </c>
      <c r="AE198" s="6" t="s">
        <v>3</v>
      </c>
      <c r="AF198" s="6" t="s">
        <v>3</v>
      </c>
      <c r="AG198" s="6" t="s">
        <v>3</v>
      </c>
      <c r="AH198" s="6" t="s">
        <v>3</v>
      </c>
      <c r="AI198" s="6" t="s">
        <v>3</v>
      </c>
      <c r="AJ198" s="6" t="s">
        <v>3</v>
      </c>
      <c r="AK198" s="5">
        <f t="shared" si="50"/>
        <v>380.2413626057392</v>
      </c>
      <c r="AL198" s="7">
        <f t="shared" si="51"/>
        <v>-0.28547511652277535</v>
      </c>
      <c r="AM198" s="7">
        <f t="shared" si="52"/>
        <v>0.41771016016829732</v>
      </c>
    </row>
    <row r="199" spans="10:39" x14ac:dyDescent="0.25">
      <c r="J199" s="3">
        <v>193</v>
      </c>
      <c r="K199" s="7">
        <v>-0.23323573792104102</v>
      </c>
      <c r="L199" s="7">
        <f t="shared" si="42"/>
        <v>5.0116480961696061E-2</v>
      </c>
      <c r="M199" s="7">
        <f t="shared" ref="M199:M262" ca="1" si="53">L199+0.9*_xlfn.NORM.INV(RAND(),0,0.1)+0.1*_xlfn.NORM.INV(RAND(),0,2)</f>
        <v>-0.13884849601120097</v>
      </c>
      <c r="N199" s="7">
        <f t="shared" ref="N199:N262" si="54">K199</f>
        <v>-0.23323573792104102</v>
      </c>
      <c r="O199" s="7">
        <v>0.22704822330401897</v>
      </c>
      <c r="P199" s="7">
        <f t="shared" ref="P199:P262" si="55">AG$8+AG$9*TANH(AG$10+AG$11*TANH(AG$12+AG$13*N199)+AG$14*TANH(AG$15+AG$16*N199)+AG$17*TANH(AG$18+AG$19*N199)+AG$20*TANH(AG$21+AG$22*N199))+AG$23*TANH(AG$24+AG$25*N199)</f>
        <v>9.0688633525287887E-2</v>
      </c>
      <c r="Q199" s="7">
        <f t="shared" si="43"/>
        <v>-0.13635958977873108</v>
      </c>
      <c r="R199" s="7">
        <f t="shared" ref="R199:R262" si="56">AH$8+AH$9*TANH(AH$10+AH$11*TANH(AH$12+AH$13*$N199)+AH$14*TANH(AH$15+AH$16*$N199)+AH$17*TANH(AH$18+AH$19*$N199)+AH$20*TANH(AH$21+AH$22*$N199))+AH$23*TANH(AH$24+AH$25*$N199)</f>
        <v>-0.28979155887915198</v>
      </c>
      <c r="S199" s="7">
        <f t="shared" si="44"/>
        <v>-4.1347182574653675E-2</v>
      </c>
      <c r="T199" s="7">
        <f t="shared" si="45"/>
        <v>1</v>
      </c>
      <c r="U199" s="7">
        <f t="shared" ref="U199:U262" si="57">AI$8+AI$9*TANH(AI$10+AI$11*TANH(AI$12+AI$13*$N199)+AI$14*TANH(AI$15+AI$16*$N199)+AI$17*TANH(AI$18+AI$19*$N199)+AI$20*TANH(AI$21+AI$22*$N199))+AI$23*TANH(AI$24+AI$25*$N199)</f>
        <v>0.40865641790229335</v>
      </c>
      <c r="V199" s="7">
        <f t="shared" si="46"/>
        <v>1.7252778486836064E-2</v>
      </c>
      <c r="W199" s="7">
        <f t="shared" si="47"/>
        <v>0</v>
      </c>
      <c r="X199" s="8" t="s">
        <v>3</v>
      </c>
      <c r="Y199" s="7">
        <v>-0.23323573792104102</v>
      </c>
      <c r="Z199" s="7">
        <v>9.0688633525287887E-2</v>
      </c>
      <c r="AC199" s="7">
        <f t="shared" si="48"/>
        <v>0.38048019240443987</v>
      </c>
      <c r="AD199" s="7">
        <f t="shared" si="49"/>
        <v>0.31796778437700546</v>
      </c>
      <c r="AE199" s="6" t="s">
        <v>3</v>
      </c>
      <c r="AF199" s="6" t="s">
        <v>3</v>
      </c>
      <c r="AG199" s="6" t="s">
        <v>3</v>
      </c>
      <c r="AH199" s="6" t="s">
        <v>3</v>
      </c>
      <c r="AI199" s="6" t="s">
        <v>3</v>
      </c>
      <c r="AJ199" s="6" t="s">
        <v>3</v>
      </c>
      <c r="AK199" s="5">
        <f t="shared" si="50"/>
        <v>383.23191704802912</v>
      </c>
      <c r="AL199" s="7">
        <f t="shared" si="51"/>
        <v>-0.28979155887915198</v>
      </c>
      <c r="AM199" s="7">
        <f t="shared" si="52"/>
        <v>0.40865641790229335</v>
      </c>
    </row>
    <row r="200" spans="10:39" x14ac:dyDescent="0.25">
      <c r="J200" s="3">
        <v>194</v>
      </c>
      <c r="K200" s="7">
        <v>-0.22237039391923319</v>
      </c>
      <c r="L200" s="7">
        <f t="shared" ref="L200:L263" si="58">15*(K200^2-1)^2*K200^4*EXP(-1*K200)</f>
        <v>4.1392778029375382E-2</v>
      </c>
      <c r="M200" s="7">
        <f t="shared" ca="1" si="53"/>
        <v>0.26490233793560108</v>
      </c>
      <c r="N200" s="7">
        <f t="shared" si="54"/>
        <v>-0.22237039391923319</v>
      </c>
      <c r="O200" s="7">
        <v>-0.140355610862296</v>
      </c>
      <c r="P200" s="7">
        <f t="shared" si="55"/>
        <v>8.1127100630218774E-2</v>
      </c>
      <c r="Q200" s="7">
        <f t="shared" ref="Q200:Q263" si="59">P200-O200</f>
        <v>0.22148271149251478</v>
      </c>
      <c r="R200" s="7">
        <f t="shared" si="56"/>
        <v>-0.29699464653288921</v>
      </c>
      <c r="S200" s="7">
        <f t="shared" ref="S200:S263" si="60">IF(R200-O200&gt;0,1-$S$5,$S$5)*(R200-O200)</f>
        <v>-1.2531122853647457E-2</v>
      </c>
      <c r="T200" s="7">
        <f t="shared" ref="T200:T263" si="61">IF(R200&lt;O200,1,0)</f>
        <v>1</v>
      </c>
      <c r="U200" s="7">
        <f t="shared" si="57"/>
        <v>0.39305232558191472</v>
      </c>
      <c r="V200" s="7">
        <f t="shared" ref="V200:V263" si="62">IF(U200-O200&lt;0,1-$V$5,$V$5)*(U200-O200)</f>
        <v>5.0673753962200016E-2</v>
      </c>
      <c r="W200" s="7">
        <f t="shared" ref="W200:W263" si="63">IF(U200&lt;O200,1,0)</f>
        <v>0</v>
      </c>
      <c r="X200" s="8" t="s">
        <v>3</v>
      </c>
      <c r="Y200" s="7">
        <v>-0.22237039391923319</v>
      </c>
      <c r="Z200" s="7">
        <v>8.1127100630218774E-2</v>
      </c>
      <c r="AC200" s="7">
        <f t="shared" ref="AC200:AC263" si="64">P200-R200</f>
        <v>0.37812174716310798</v>
      </c>
      <c r="AD200" s="7">
        <f t="shared" ref="AD200:AD263" si="65">U200-P200</f>
        <v>0.31192522495169595</v>
      </c>
      <c r="AE200" s="6" t="s">
        <v>3</v>
      </c>
      <c r="AF200" s="6" t="s">
        <v>3</v>
      </c>
      <c r="AG200" s="6" t="s">
        <v>3</v>
      </c>
      <c r="AH200" s="6" t="s">
        <v>3</v>
      </c>
      <c r="AI200" s="6" t="s">
        <v>3</v>
      </c>
      <c r="AJ200" s="6" t="s">
        <v>3</v>
      </c>
      <c r="AK200" s="5">
        <f t="shared" ref="AK200:AK263" si="66">1000*(N200-MIN(N$7:N$507))/(MAX(N$7:N$507)-MIN(N$7:N$507))</f>
        <v>388.6931274423776</v>
      </c>
      <c r="AL200" s="7">
        <f t="shared" ref="AL200:AL263" si="67">R200</f>
        <v>-0.29699464653288921</v>
      </c>
      <c r="AM200" s="7">
        <f t="shared" ref="AM200:AM263" si="68">U200-0*R200</f>
        <v>0.39305232558191472</v>
      </c>
    </row>
    <row r="201" spans="10:39" x14ac:dyDescent="0.25">
      <c r="J201" s="3">
        <v>195</v>
      </c>
      <c r="K201" s="7">
        <v>-0.20893733243369073</v>
      </c>
      <c r="L201" s="7">
        <f t="shared" si="58"/>
        <v>3.221996979467185E-2</v>
      </c>
      <c r="M201" s="7">
        <f t="shared" ca="1" si="53"/>
        <v>-0.28067815429282705</v>
      </c>
      <c r="N201" s="7">
        <f t="shared" si="54"/>
        <v>-0.20893733243369073</v>
      </c>
      <c r="O201" s="7">
        <v>1.548326291654124E-2</v>
      </c>
      <c r="P201" s="7">
        <f t="shared" si="55"/>
        <v>7.0319275970834205E-2</v>
      </c>
      <c r="Q201" s="7">
        <f t="shared" si="59"/>
        <v>5.4836013054292962E-2</v>
      </c>
      <c r="R201" s="7">
        <f t="shared" si="56"/>
        <v>-0.30476989903825391</v>
      </c>
      <c r="S201" s="7">
        <f t="shared" si="60"/>
        <v>-2.5620252956383611E-2</v>
      </c>
      <c r="T201" s="7">
        <f t="shared" si="61"/>
        <v>1</v>
      </c>
      <c r="U201" s="7">
        <f t="shared" si="57"/>
        <v>0.37544060044761807</v>
      </c>
      <c r="V201" s="7">
        <f t="shared" si="62"/>
        <v>3.4195947065452301E-2</v>
      </c>
      <c r="W201" s="7">
        <f t="shared" si="63"/>
        <v>0</v>
      </c>
      <c r="X201" s="8" t="s">
        <v>3</v>
      </c>
      <c r="Y201" s="7">
        <v>-0.20893733243369073</v>
      </c>
      <c r="Z201" s="7">
        <v>7.0319275970834205E-2</v>
      </c>
      <c r="AC201" s="7">
        <f t="shared" si="64"/>
        <v>0.37508917500908812</v>
      </c>
      <c r="AD201" s="7">
        <f t="shared" si="65"/>
        <v>0.30512132447678386</v>
      </c>
      <c r="AE201" s="6" t="s">
        <v>3</v>
      </c>
      <c r="AF201" s="6" t="s">
        <v>3</v>
      </c>
      <c r="AG201" s="6" t="s">
        <v>3</v>
      </c>
      <c r="AH201" s="6" t="s">
        <v>3</v>
      </c>
      <c r="AI201" s="6" t="s">
        <v>3</v>
      </c>
      <c r="AJ201" s="6" t="s">
        <v>3</v>
      </c>
      <c r="AK201" s="5">
        <f t="shared" si="66"/>
        <v>395.44494082265908</v>
      </c>
      <c r="AL201" s="7">
        <f t="shared" si="67"/>
        <v>-0.30476989903825391</v>
      </c>
      <c r="AM201" s="7">
        <f t="shared" si="68"/>
        <v>0.37544060044761807</v>
      </c>
    </row>
    <row r="202" spans="10:39" x14ac:dyDescent="0.25">
      <c r="J202" s="3">
        <v>196</v>
      </c>
      <c r="K202" s="7">
        <v>-0.20503882076964164</v>
      </c>
      <c r="L202" s="7">
        <f t="shared" si="58"/>
        <v>2.9865981210400263E-2</v>
      </c>
      <c r="M202" s="7">
        <f t="shared" ca="1" si="53"/>
        <v>6.411122791139906E-2</v>
      </c>
      <c r="N202" s="7">
        <f t="shared" si="54"/>
        <v>-0.20503882076964164</v>
      </c>
      <c r="O202" s="7">
        <v>5.2078212448237182E-2</v>
      </c>
      <c r="P202" s="7">
        <f t="shared" si="55"/>
        <v>6.7379301542055181E-2</v>
      </c>
      <c r="Q202" s="7">
        <f t="shared" si="59"/>
        <v>1.5301089093817999E-2</v>
      </c>
      <c r="R202" s="7">
        <f t="shared" si="56"/>
        <v>-0.30680761239053922</v>
      </c>
      <c r="S202" s="7">
        <f t="shared" si="60"/>
        <v>-2.8710865987102114E-2</v>
      </c>
      <c r="T202" s="7">
        <f t="shared" si="61"/>
        <v>1</v>
      </c>
      <c r="U202" s="7">
        <f t="shared" si="57"/>
        <v>0.37068383389163628</v>
      </c>
      <c r="V202" s="7">
        <f t="shared" si="62"/>
        <v>3.0267534037122915E-2</v>
      </c>
      <c r="W202" s="7">
        <f t="shared" si="63"/>
        <v>0</v>
      </c>
      <c r="X202" s="8" t="s">
        <v>3</v>
      </c>
      <c r="Y202" s="7">
        <v>-0.20503882076964164</v>
      </c>
      <c r="Z202" s="7">
        <v>6.7379301542055181E-2</v>
      </c>
      <c r="AC202" s="7">
        <f t="shared" si="64"/>
        <v>0.3741869139325944</v>
      </c>
      <c r="AD202" s="7">
        <f t="shared" si="65"/>
        <v>0.3033045323495811</v>
      </c>
      <c r="AE202" s="6" t="s">
        <v>3</v>
      </c>
      <c r="AF202" s="6" t="s">
        <v>3</v>
      </c>
      <c r="AG202" s="6" t="s">
        <v>3</v>
      </c>
      <c r="AH202" s="6" t="s">
        <v>3</v>
      </c>
      <c r="AI202" s="6" t="s">
        <v>3</v>
      </c>
      <c r="AJ202" s="6" t="s">
        <v>3</v>
      </c>
      <c r="AK202" s="5">
        <f t="shared" si="66"/>
        <v>397.40443629916228</v>
      </c>
      <c r="AL202" s="7">
        <f t="shared" si="67"/>
        <v>-0.30680761239053922</v>
      </c>
      <c r="AM202" s="7">
        <f t="shared" si="68"/>
        <v>0.37068383389163628</v>
      </c>
    </row>
    <row r="203" spans="10:39" x14ac:dyDescent="0.25">
      <c r="J203" s="3">
        <v>197</v>
      </c>
      <c r="K203" s="7">
        <v>-0.2043550376134331</v>
      </c>
      <c r="L203" s="7">
        <f t="shared" si="58"/>
        <v>2.9466640084987051E-2</v>
      </c>
      <c r="M203" s="7">
        <f t="shared" ca="1" si="53"/>
        <v>3.6247549958263084E-2</v>
      </c>
      <c r="N203" s="7">
        <f t="shared" si="54"/>
        <v>-0.2043550376134331</v>
      </c>
      <c r="O203" s="7">
        <v>-3.992076279595777E-2</v>
      </c>
      <c r="P203" s="7">
        <f t="shared" si="55"/>
        <v>6.6872395062476109E-2</v>
      </c>
      <c r="Q203" s="7">
        <f t="shared" si="59"/>
        <v>0.10679315785843388</v>
      </c>
      <c r="R203" s="7">
        <f t="shared" si="56"/>
        <v>-0.30715529653807039</v>
      </c>
      <c r="S203" s="7">
        <f t="shared" si="60"/>
        <v>-2.1378762699369006E-2</v>
      </c>
      <c r="T203" s="7">
        <f t="shared" si="61"/>
        <v>1</v>
      </c>
      <c r="U203" s="7">
        <f t="shared" si="57"/>
        <v>0.36986623727307455</v>
      </c>
      <c r="V203" s="7">
        <f t="shared" si="62"/>
        <v>3.8929765006558072E-2</v>
      </c>
      <c r="W203" s="7">
        <f t="shared" si="63"/>
        <v>0</v>
      </c>
      <c r="X203" s="8" t="s">
        <v>3</v>
      </c>
      <c r="Y203" s="7">
        <v>-0.2043550376134331</v>
      </c>
      <c r="Z203" s="7">
        <v>6.6872395062476109E-2</v>
      </c>
      <c r="AC203" s="7">
        <f t="shared" si="64"/>
        <v>0.3740276916005465</v>
      </c>
      <c r="AD203" s="7">
        <f t="shared" si="65"/>
        <v>0.30299384221059844</v>
      </c>
      <c r="AE203" s="6" t="s">
        <v>3</v>
      </c>
      <c r="AF203" s="6" t="s">
        <v>3</v>
      </c>
      <c r="AG203" s="6" t="s">
        <v>3</v>
      </c>
      <c r="AH203" s="6" t="s">
        <v>3</v>
      </c>
      <c r="AI203" s="6" t="s">
        <v>3</v>
      </c>
      <c r="AJ203" s="6" t="s">
        <v>3</v>
      </c>
      <c r="AK203" s="5">
        <f t="shared" si="66"/>
        <v>397.74812386943574</v>
      </c>
      <c r="AL203" s="7">
        <f t="shared" si="67"/>
        <v>-0.30715529653807039</v>
      </c>
      <c r="AM203" s="7">
        <f t="shared" si="68"/>
        <v>0.36986623727307455</v>
      </c>
    </row>
    <row r="204" spans="10:39" x14ac:dyDescent="0.25">
      <c r="J204" s="3">
        <v>198</v>
      </c>
      <c r="K204" s="7">
        <v>-0.19768147668265046</v>
      </c>
      <c r="L204" s="7">
        <f t="shared" si="58"/>
        <v>2.57740961018703E-2</v>
      </c>
      <c r="M204" s="7">
        <f t="shared" ca="1" si="53"/>
        <v>0.12003756099850064</v>
      </c>
      <c r="N204" s="7">
        <f t="shared" si="54"/>
        <v>-0.19768147668265046</v>
      </c>
      <c r="O204" s="7">
        <v>0.39821861960215743</v>
      </c>
      <c r="P204" s="7">
        <f t="shared" si="55"/>
        <v>6.2058872078330829E-2</v>
      </c>
      <c r="Q204" s="7">
        <f t="shared" si="59"/>
        <v>-0.3361597475238266</v>
      </c>
      <c r="R204" s="7">
        <f t="shared" si="56"/>
        <v>-0.31040021284326791</v>
      </c>
      <c r="S204" s="7">
        <f t="shared" si="60"/>
        <v>-5.6689506595634029E-2</v>
      </c>
      <c r="T204" s="7">
        <f t="shared" si="61"/>
        <v>1</v>
      </c>
      <c r="U204" s="7">
        <f t="shared" si="57"/>
        <v>0.36215229632474477</v>
      </c>
      <c r="V204" s="7">
        <f t="shared" si="62"/>
        <v>-3.2640022566058455E-2</v>
      </c>
      <c r="W204" s="7">
        <f t="shared" si="63"/>
        <v>1</v>
      </c>
      <c r="X204" s="8" t="s">
        <v>3</v>
      </c>
      <c r="Y204" s="7">
        <v>-0.19768147668265046</v>
      </c>
      <c r="Z204" s="7">
        <v>6.2058872078330829E-2</v>
      </c>
      <c r="AC204" s="7">
        <f t="shared" si="64"/>
        <v>0.37245908492159874</v>
      </c>
      <c r="AD204" s="7">
        <f t="shared" si="65"/>
        <v>0.30009342424641394</v>
      </c>
      <c r="AE204" s="6" t="s">
        <v>3</v>
      </c>
      <c r="AF204" s="6" t="s">
        <v>3</v>
      </c>
      <c r="AG204" s="6" t="s">
        <v>3</v>
      </c>
      <c r="AH204" s="6" t="s">
        <v>3</v>
      </c>
      <c r="AI204" s="6" t="s">
        <v>3</v>
      </c>
      <c r="AJ204" s="6" t="s">
        <v>3</v>
      </c>
      <c r="AK204" s="5">
        <f t="shared" si="66"/>
        <v>401.102432791127</v>
      </c>
      <c r="AL204" s="7">
        <f t="shared" si="67"/>
        <v>-0.31040021284326791</v>
      </c>
      <c r="AM204" s="7">
        <f t="shared" si="68"/>
        <v>0.36215229632474477</v>
      </c>
    </row>
    <row r="205" spans="10:39" x14ac:dyDescent="0.25">
      <c r="J205" s="3">
        <v>199</v>
      </c>
      <c r="K205" s="7">
        <v>-0.19140455010747282</v>
      </c>
      <c r="L205" s="7">
        <f t="shared" si="58"/>
        <v>2.2625976142372443E-2</v>
      </c>
      <c r="M205" s="7">
        <f t="shared" ca="1" si="53"/>
        <v>-6.9460409021612213E-3</v>
      </c>
      <c r="N205" s="7">
        <f t="shared" si="54"/>
        <v>-0.19140455010747282</v>
      </c>
      <c r="O205" s="7">
        <v>3.4274296056401088E-2</v>
      </c>
      <c r="P205" s="7">
        <f t="shared" si="55"/>
        <v>5.7746326535915493E-2</v>
      </c>
      <c r="Q205" s="7">
        <f t="shared" si="59"/>
        <v>2.3472030479514405E-2</v>
      </c>
      <c r="R205" s="7">
        <f t="shared" si="56"/>
        <v>-0.31321425364636291</v>
      </c>
      <c r="S205" s="7">
        <f t="shared" si="60"/>
        <v>-2.779908397622112E-2</v>
      </c>
      <c r="T205" s="7">
        <f t="shared" si="61"/>
        <v>1</v>
      </c>
      <c r="U205" s="7">
        <f t="shared" si="57"/>
        <v>0.35534504656019861</v>
      </c>
      <c r="V205" s="7">
        <f t="shared" si="62"/>
        <v>3.0501721297860766E-2</v>
      </c>
      <c r="W205" s="7">
        <f t="shared" si="63"/>
        <v>0</v>
      </c>
      <c r="X205" s="8" t="s">
        <v>3</v>
      </c>
      <c r="Y205" s="7">
        <v>-0.19140455010747282</v>
      </c>
      <c r="Z205" s="7">
        <v>5.7746326535915493E-2</v>
      </c>
      <c r="AC205" s="7">
        <f t="shared" si="64"/>
        <v>0.3709605801822784</v>
      </c>
      <c r="AD205" s="7">
        <f t="shared" si="65"/>
        <v>0.29759872002428311</v>
      </c>
      <c r="AE205" s="6" t="s">
        <v>3</v>
      </c>
      <c r="AF205" s="6" t="s">
        <v>3</v>
      </c>
      <c r="AG205" s="6" t="s">
        <v>3</v>
      </c>
      <c r="AH205" s="6" t="s">
        <v>3</v>
      </c>
      <c r="AI205" s="6" t="s">
        <v>3</v>
      </c>
      <c r="AJ205" s="6" t="s">
        <v>3</v>
      </c>
      <c r="AK205" s="5">
        <f t="shared" si="66"/>
        <v>404.25738275416717</v>
      </c>
      <c r="AL205" s="7">
        <f t="shared" si="67"/>
        <v>-0.31321425364636291</v>
      </c>
      <c r="AM205" s="7">
        <f t="shared" si="68"/>
        <v>0.35534504656019861</v>
      </c>
    </row>
    <row r="206" spans="10:39" x14ac:dyDescent="0.25">
      <c r="J206" s="3">
        <v>200</v>
      </c>
      <c r="K206" s="7">
        <v>-0.16968099447226193</v>
      </c>
      <c r="L206" s="7">
        <f t="shared" si="58"/>
        <v>1.3897619155452526E-2</v>
      </c>
      <c r="M206" s="7">
        <f t="shared" ca="1" si="53"/>
        <v>0.28776520760453733</v>
      </c>
      <c r="N206" s="7">
        <f t="shared" si="54"/>
        <v>-0.16968099447226193</v>
      </c>
      <c r="O206" s="7">
        <v>4.4418362055607681E-2</v>
      </c>
      <c r="P206" s="7">
        <f t="shared" si="55"/>
        <v>4.4313599550525051E-2</v>
      </c>
      <c r="Q206" s="7">
        <f t="shared" si="59"/>
        <v>-1.047625050826298E-4</v>
      </c>
      <c r="R206" s="7">
        <f t="shared" si="56"/>
        <v>-0.32130858163927023</v>
      </c>
      <c r="S206" s="7">
        <f t="shared" si="60"/>
        <v>-2.9258155495590233E-2</v>
      </c>
      <c r="T206" s="7">
        <f t="shared" si="61"/>
        <v>1</v>
      </c>
      <c r="U206" s="7">
        <f t="shared" si="57"/>
        <v>0.33535851285587137</v>
      </c>
      <c r="V206" s="7">
        <f t="shared" si="62"/>
        <v>2.7639314326025052E-2</v>
      </c>
      <c r="W206" s="7">
        <f t="shared" si="63"/>
        <v>0</v>
      </c>
      <c r="X206" s="8" t="s">
        <v>3</v>
      </c>
      <c r="Y206" s="7">
        <v>-0.16968099447226193</v>
      </c>
      <c r="Z206" s="7">
        <v>4.4313599550525051E-2</v>
      </c>
      <c r="AC206" s="7">
        <f t="shared" si="64"/>
        <v>0.36562218118979528</v>
      </c>
      <c r="AD206" s="7">
        <f t="shared" si="65"/>
        <v>0.29104491330534632</v>
      </c>
      <c r="AE206" s="6" t="s">
        <v>3</v>
      </c>
      <c r="AF206" s="6" t="s">
        <v>3</v>
      </c>
      <c r="AG206" s="6" t="s">
        <v>3</v>
      </c>
      <c r="AH206" s="6" t="s">
        <v>3</v>
      </c>
      <c r="AI206" s="6" t="s">
        <v>3</v>
      </c>
      <c r="AJ206" s="6" t="s">
        <v>3</v>
      </c>
      <c r="AK206" s="5">
        <f t="shared" si="66"/>
        <v>415.17621862512368</v>
      </c>
      <c r="AL206" s="7">
        <f t="shared" si="67"/>
        <v>-0.32130858163927023</v>
      </c>
      <c r="AM206" s="7">
        <f t="shared" si="68"/>
        <v>0.33535851285587137</v>
      </c>
    </row>
    <row r="207" spans="10:39" x14ac:dyDescent="0.25">
      <c r="J207" s="3">
        <v>201</v>
      </c>
      <c r="K207" s="7">
        <v>-0.16964537347731756</v>
      </c>
      <c r="L207" s="7">
        <f t="shared" si="58"/>
        <v>1.3885803767206264E-2</v>
      </c>
      <c r="M207" s="7">
        <f t="shared" ca="1" si="53"/>
        <v>-0.28686676231862313</v>
      </c>
      <c r="N207" s="7">
        <f t="shared" si="54"/>
        <v>-0.16964537347731756</v>
      </c>
      <c r="O207" s="7">
        <v>0.17122992362009493</v>
      </c>
      <c r="P207" s="7">
        <f t="shared" si="55"/>
        <v>4.4293365071253366E-2</v>
      </c>
      <c r="Q207" s="7">
        <f t="shared" si="59"/>
        <v>-0.12693655854884156</v>
      </c>
      <c r="R207" s="7">
        <f t="shared" si="56"/>
        <v>-0.32131988989516813</v>
      </c>
      <c r="S207" s="7">
        <f t="shared" si="60"/>
        <v>-3.9403985081221046E-2</v>
      </c>
      <c r="T207" s="7">
        <f t="shared" si="61"/>
        <v>1</v>
      </c>
      <c r="U207" s="7">
        <f t="shared" si="57"/>
        <v>0.33533058165664409</v>
      </c>
      <c r="V207" s="7">
        <f t="shared" si="62"/>
        <v>1.5589562513472171E-2</v>
      </c>
      <c r="W207" s="7">
        <f t="shared" si="63"/>
        <v>0</v>
      </c>
      <c r="X207" s="8" t="s">
        <v>3</v>
      </c>
      <c r="Y207" s="7">
        <v>-0.16964537347731756</v>
      </c>
      <c r="Z207" s="7">
        <v>4.4293365071253366E-2</v>
      </c>
      <c r="AC207" s="7">
        <f t="shared" si="64"/>
        <v>0.3656132549664215</v>
      </c>
      <c r="AD207" s="7">
        <f t="shared" si="65"/>
        <v>0.29103721658539072</v>
      </c>
      <c r="AE207" s="6" t="s">
        <v>3</v>
      </c>
      <c r="AF207" s="6" t="s">
        <v>3</v>
      </c>
      <c r="AG207" s="6" t="s">
        <v>3</v>
      </c>
      <c r="AH207" s="6" t="s">
        <v>3</v>
      </c>
      <c r="AI207" s="6" t="s">
        <v>3</v>
      </c>
      <c r="AJ207" s="6" t="s">
        <v>3</v>
      </c>
      <c r="AK207" s="5">
        <f t="shared" si="66"/>
        <v>415.19412268299936</v>
      </c>
      <c r="AL207" s="7">
        <f t="shared" si="67"/>
        <v>-0.32131988989516813</v>
      </c>
      <c r="AM207" s="7">
        <f t="shared" si="68"/>
        <v>0.33533058165664409</v>
      </c>
    </row>
    <row r="208" spans="10:39" x14ac:dyDescent="0.25">
      <c r="J208" s="3">
        <v>202</v>
      </c>
      <c r="K208" s="7">
        <v>-0.16879703965534687</v>
      </c>
      <c r="L208" s="7">
        <f t="shared" si="58"/>
        <v>1.3606629312696163E-2</v>
      </c>
      <c r="M208" s="7">
        <f t="shared" ca="1" si="53"/>
        <v>0.21010679266929871</v>
      </c>
      <c r="N208" s="7">
        <f t="shared" si="54"/>
        <v>-0.16879703965534687</v>
      </c>
      <c r="O208" s="7">
        <v>0.24770291054252935</v>
      </c>
      <c r="P208" s="7">
        <f t="shared" si="55"/>
        <v>4.3813123130011178E-2</v>
      </c>
      <c r="Q208" s="7">
        <f t="shared" si="59"/>
        <v>-0.20388978741251818</v>
      </c>
      <c r="R208" s="7">
        <f t="shared" si="56"/>
        <v>-0.3215873987375204</v>
      </c>
      <c r="S208" s="7">
        <f t="shared" si="60"/>
        <v>-4.5543224742403979E-2</v>
      </c>
      <c r="T208" s="7">
        <f t="shared" si="61"/>
        <v>1</v>
      </c>
      <c r="U208" s="7">
        <f t="shared" si="57"/>
        <v>0.33467034061779488</v>
      </c>
      <c r="V208" s="7">
        <f t="shared" si="62"/>
        <v>8.2619058571502257E-3</v>
      </c>
      <c r="W208" s="7">
        <f t="shared" si="63"/>
        <v>0</v>
      </c>
      <c r="X208" s="8" t="s">
        <v>3</v>
      </c>
      <c r="Y208" s="7">
        <v>-0.16879703965534687</v>
      </c>
      <c r="Z208" s="7">
        <v>4.3813123130011178E-2</v>
      </c>
      <c r="AC208" s="7">
        <f t="shared" si="64"/>
        <v>0.36540052186753158</v>
      </c>
      <c r="AD208" s="7">
        <f t="shared" si="65"/>
        <v>0.2908572174877837</v>
      </c>
      <c r="AE208" s="6" t="s">
        <v>3</v>
      </c>
      <c r="AF208" s="6" t="s">
        <v>3</v>
      </c>
      <c r="AG208" s="6" t="s">
        <v>3</v>
      </c>
      <c r="AH208" s="6" t="s">
        <v>3</v>
      </c>
      <c r="AI208" s="6" t="s">
        <v>3</v>
      </c>
      <c r="AJ208" s="6" t="s">
        <v>3</v>
      </c>
      <c r="AK208" s="5">
        <f t="shared" si="66"/>
        <v>415.62051778707087</v>
      </c>
      <c r="AL208" s="7">
        <f t="shared" si="67"/>
        <v>-0.3215873987375204</v>
      </c>
      <c r="AM208" s="7">
        <f t="shared" si="68"/>
        <v>0.33467034061779488</v>
      </c>
    </row>
    <row r="209" spans="10:39" x14ac:dyDescent="0.25">
      <c r="J209" s="3">
        <v>203</v>
      </c>
      <c r="K209" s="7">
        <v>-0.16826784219246749</v>
      </c>
      <c r="L209" s="7">
        <f t="shared" si="58"/>
        <v>1.3434620029888945E-2</v>
      </c>
      <c r="M209" s="7">
        <f t="shared" ca="1" si="53"/>
        <v>6.8688942368840628E-2</v>
      </c>
      <c r="N209" s="7">
        <f t="shared" si="54"/>
        <v>-0.16826784219246749</v>
      </c>
      <c r="O209" s="7">
        <v>-7.2760778177650587E-2</v>
      </c>
      <c r="P209" s="7">
        <f t="shared" si="55"/>
        <v>4.3515147110719798E-2</v>
      </c>
      <c r="Q209" s="7">
        <f t="shared" si="59"/>
        <v>0.11627592528837039</v>
      </c>
      <c r="R209" s="7">
        <f t="shared" si="56"/>
        <v>-0.32175252524649611</v>
      </c>
      <c r="S209" s="7">
        <f t="shared" si="60"/>
        <v>-1.9919339765507641E-2</v>
      </c>
      <c r="T209" s="7">
        <f t="shared" si="61"/>
        <v>1</v>
      </c>
      <c r="U209" s="7">
        <f t="shared" si="57"/>
        <v>0.33426331373679385</v>
      </c>
      <c r="V209" s="7">
        <f t="shared" si="62"/>
        <v>3.8667288731872224E-2</v>
      </c>
      <c r="W209" s="7">
        <f t="shared" si="63"/>
        <v>0</v>
      </c>
      <c r="X209" s="8" t="s">
        <v>3</v>
      </c>
      <c r="Y209" s="7">
        <v>-0.16826784219246749</v>
      </c>
      <c r="Z209" s="7">
        <v>4.3515147110719798E-2</v>
      </c>
      <c r="AC209" s="7">
        <f t="shared" si="64"/>
        <v>0.36526767235721591</v>
      </c>
      <c r="AD209" s="7">
        <f t="shared" si="65"/>
        <v>0.29074816662607406</v>
      </c>
      <c r="AE209" s="6" t="s">
        <v>3</v>
      </c>
      <c r="AF209" s="6" t="s">
        <v>3</v>
      </c>
      <c r="AG209" s="6" t="s">
        <v>3</v>
      </c>
      <c r="AH209" s="6" t="s">
        <v>3</v>
      </c>
      <c r="AI209" s="6" t="s">
        <v>3</v>
      </c>
      <c r="AJ209" s="6" t="s">
        <v>3</v>
      </c>
      <c r="AK209" s="5">
        <f t="shared" si="66"/>
        <v>415.88650648328326</v>
      </c>
      <c r="AL209" s="7">
        <f t="shared" si="67"/>
        <v>-0.32175252524649611</v>
      </c>
      <c r="AM209" s="7">
        <f t="shared" si="68"/>
        <v>0.33426331373679385</v>
      </c>
    </row>
    <row r="210" spans="10:39" x14ac:dyDescent="0.25">
      <c r="J210" s="3">
        <v>204</v>
      </c>
      <c r="K210" s="7">
        <v>-0.16677154074264711</v>
      </c>
      <c r="L210" s="7">
        <f t="shared" si="58"/>
        <v>1.2957070693865202E-2</v>
      </c>
      <c r="M210" s="7">
        <f t="shared" ca="1" si="53"/>
        <v>-0.11950153676204217</v>
      </c>
      <c r="N210" s="7">
        <f t="shared" si="54"/>
        <v>-0.16677154074264711</v>
      </c>
      <c r="O210" s="7">
        <v>-0.47915698194873457</v>
      </c>
      <c r="P210" s="7">
        <f t="shared" si="55"/>
        <v>4.2679247359298067E-2</v>
      </c>
      <c r="Q210" s="7">
        <f t="shared" si="59"/>
        <v>0.52183622930803264</v>
      </c>
      <c r="R210" s="7">
        <f t="shared" si="56"/>
        <v>-0.32221220057482647</v>
      </c>
      <c r="S210" s="7">
        <f t="shared" si="60"/>
        <v>0.14438919886399545</v>
      </c>
      <c r="T210" s="7">
        <f t="shared" si="61"/>
        <v>0</v>
      </c>
      <c r="U210" s="7">
        <f t="shared" si="57"/>
        <v>0.33313272015980377</v>
      </c>
      <c r="V210" s="7">
        <f t="shared" si="62"/>
        <v>7.7167521700311145E-2</v>
      </c>
      <c r="W210" s="7">
        <f t="shared" si="63"/>
        <v>0</v>
      </c>
      <c r="X210" s="8" t="s">
        <v>3</v>
      </c>
      <c r="Y210" s="7">
        <v>-0.16677154074264711</v>
      </c>
      <c r="Z210" s="7">
        <v>4.2679247359298067E-2</v>
      </c>
      <c r="AC210" s="7">
        <f t="shared" si="64"/>
        <v>0.36489144793412454</v>
      </c>
      <c r="AD210" s="7">
        <f t="shared" si="65"/>
        <v>0.29045347280050571</v>
      </c>
      <c r="AE210" s="6" t="s">
        <v>3</v>
      </c>
      <c r="AF210" s="6" t="s">
        <v>3</v>
      </c>
      <c r="AG210" s="6" t="s">
        <v>3</v>
      </c>
      <c r="AH210" s="6" t="s">
        <v>3</v>
      </c>
      <c r="AI210" s="6" t="s">
        <v>3</v>
      </c>
      <c r="AJ210" s="6" t="s">
        <v>3</v>
      </c>
      <c r="AK210" s="5">
        <f t="shared" si="66"/>
        <v>416.63858732209309</v>
      </c>
      <c r="AL210" s="7">
        <f t="shared" si="67"/>
        <v>-0.32221220057482647</v>
      </c>
      <c r="AM210" s="7">
        <f t="shared" si="68"/>
        <v>0.33313272015980377</v>
      </c>
    </row>
    <row r="211" spans="10:39" x14ac:dyDescent="0.25">
      <c r="J211" s="3">
        <v>205</v>
      </c>
      <c r="K211" s="7">
        <v>-0.15459081945994479</v>
      </c>
      <c r="L211" s="7">
        <f t="shared" si="58"/>
        <v>9.5269550324614712E-3</v>
      </c>
      <c r="M211" s="7">
        <f t="shared" ca="1" si="53"/>
        <v>-0.20872849493621293</v>
      </c>
      <c r="N211" s="7">
        <f t="shared" si="54"/>
        <v>-0.15459081945994479</v>
      </c>
      <c r="O211" s="7">
        <v>0.18067356161302034</v>
      </c>
      <c r="P211" s="7">
        <f t="shared" si="55"/>
        <v>3.6228653378389541E-2</v>
      </c>
      <c r="Q211" s="7">
        <f t="shared" si="59"/>
        <v>-0.1444449082346308</v>
      </c>
      <c r="R211" s="7">
        <f t="shared" si="56"/>
        <v>-0.32556994403190487</v>
      </c>
      <c r="S211" s="7">
        <f t="shared" si="60"/>
        <v>-4.0499480451594023E-2</v>
      </c>
      <c r="T211" s="7">
        <f t="shared" si="61"/>
        <v>1</v>
      </c>
      <c r="U211" s="7">
        <f t="shared" si="57"/>
        <v>0.32509135957585622</v>
      </c>
      <c r="V211" s="7">
        <f t="shared" si="62"/>
        <v>1.3719690806469408E-2</v>
      </c>
      <c r="W211" s="7">
        <f t="shared" si="63"/>
        <v>0</v>
      </c>
      <c r="X211" s="8" t="s">
        <v>3</v>
      </c>
      <c r="Y211" s="7">
        <v>-0.15459081945994479</v>
      </c>
      <c r="Z211" s="7">
        <v>3.6228653378389541E-2</v>
      </c>
      <c r="AC211" s="7">
        <f t="shared" si="64"/>
        <v>0.36179859741029441</v>
      </c>
      <c r="AD211" s="7">
        <f t="shared" si="65"/>
        <v>0.28886270619746668</v>
      </c>
      <c r="AE211" s="6" t="s">
        <v>3</v>
      </c>
      <c r="AF211" s="6" t="s">
        <v>3</v>
      </c>
      <c r="AG211" s="6" t="s">
        <v>3</v>
      </c>
      <c r="AH211" s="6" t="s">
        <v>3</v>
      </c>
      <c r="AI211" s="6" t="s">
        <v>3</v>
      </c>
      <c r="AJ211" s="6" t="s">
        <v>3</v>
      </c>
      <c r="AK211" s="5">
        <f t="shared" si="66"/>
        <v>422.76094126401046</v>
      </c>
      <c r="AL211" s="7">
        <f t="shared" si="67"/>
        <v>-0.32556994403190487</v>
      </c>
      <c r="AM211" s="7">
        <f t="shared" si="68"/>
        <v>0.32509135957585622</v>
      </c>
    </row>
    <row r="212" spans="10:39" x14ac:dyDescent="0.25">
      <c r="J212" s="3">
        <v>206</v>
      </c>
      <c r="K212" s="7">
        <v>-0.15212411736816289</v>
      </c>
      <c r="L212" s="7">
        <f t="shared" si="58"/>
        <v>8.9251044944105556E-3</v>
      </c>
      <c r="M212" s="7">
        <f t="shared" ca="1" si="53"/>
        <v>1.4647252861147736E-2</v>
      </c>
      <c r="N212" s="7">
        <f t="shared" si="54"/>
        <v>-0.15212411736816289</v>
      </c>
      <c r="O212" s="7">
        <v>-0.21182505635683943</v>
      </c>
      <c r="P212" s="7">
        <f t="shared" si="55"/>
        <v>3.4996770005617961E-2</v>
      </c>
      <c r="Q212" s="7">
        <f t="shared" si="59"/>
        <v>0.24682182636245739</v>
      </c>
      <c r="R212" s="7">
        <f t="shared" si="56"/>
        <v>-0.32616957179232475</v>
      </c>
      <c r="S212" s="7">
        <f t="shared" si="60"/>
        <v>-9.1475612348388257E-3</v>
      </c>
      <c r="T212" s="7">
        <f t="shared" si="61"/>
        <v>1</v>
      </c>
      <c r="U212" s="7">
        <f t="shared" si="57"/>
        <v>0.32372786890274829</v>
      </c>
      <c r="V212" s="7">
        <f t="shared" si="62"/>
        <v>5.0877527899660838E-2</v>
      </c>
      <c r="W212" s="7">
        <f t="shared" si="63"/>
        <v>0</v>
      </c>
      <c r="X212" s="8" t="s">
        <v>3</v>
      </c>
      <c r="Y212" s="7">
        <v>-0.15212411736816289</v>
      </c>
      <c r="Z212" s="7">
        <v>3.4996770005617961E-2</v>
      </c>
      <c r="AC212" s="7">
        <f t="shared" si="64"/>
        <v>0.36116634179794271</v>
      </c>
      <c r="AD212" s="7">
        <f t="shared" si="65"/>
        <v>0.28873109889713033</v>
      </c>
      <c r="AE212" s="6" t="s">
        <v>3</v>
      </c>
      <c r="AF212" s="6" t="s">
        <v>3</v>
      </c>
      <c r="AG212" s="6" t="s">
        <v>3</v>
      </c>
      <c r="AH212" s="6" t="s">
        <v>3</v>
      </c>
      <c r="AI212" s="6" t="s">
        <v>3</v>
      </c>
      <c r="AJ212" s="6" t="s">
        <v>3</v>
      </c>
      <c r="AK212" s="5">
        <f t="shared" si="66"/>
        <v>424.0007712317647</v>
      </c>
      <c r="AL212" s="7">
        <f t="shared" si="67"/>
        <v>-0.32616957179232475</v>
      </c>
      <c r="AM212" s="7">
        <f t="shared" si="68"/>
        <v>0.32372786890274829</v>
      </c>
    </row>
    <row r="213" spans="10:39" x14ac:dyDescent="0.25">
      <c r="J213" s="3">
        <v>207</v>
      </c>
      <c r="K213" s="7">
        <v>-0.14777324559892802</v>
      </c>
      <c r="L213" s="7">
        <f t="shared" si="58"/>
        <v>7.9336700496310079E-3</v>
      </c>
      <c r="M213" s="7">
        <f t="shared" ca="1" si="53"/>
        <v>-7.4930397296533724E-3</v>
      </c>
      <c r="N213" s="7">
        <f t="shared" si="54"/>
        <v>-0.14777324559892802</v>
      </c>
      <c r="O213" s="7">
        <v>-4.1927891239491547E-2</v>
      </c>
      <c r="P213" s="7">
        <f t="shared" si="55"/>
        <v>3.2882845835201291E-2</v>
      </c>
      <c r="Q213" s="7">
        <f t="shared" si="59"/>
        <v>7.4810737074692837E-2</v>
      </c>
      <c r="R213" s="7">
        <f t="shared" si="56"/>
        <v>-0.32716404905268792</v>
      </c>
      <c r="S213" s="7">
        <f t="shared" si="60"/>
        <v>-2.2818892625055712E-2</v>
      </c>
      <c r="T213" s="7">
        <f t="shared" si="61"/>
        <v>1</v>
      </c>
      <c r="U213" s="7">
        <f t="shared" si="57"/>
        <v>0.32155408956391351</v>
      </c>
      <c r="V213" s="7">
        <f t="shared" si="62"/>
        <v>3.4530788176323476E-2</v>
      </c>
      <c r="W213" s="7">
        <f t="shared" si="63"/>
        <v>0</v>
      </c>
      <c r="X213" s="8" t="s">
        <v>3</v>
      </c>
      <c r="Y213" s="7">
        <v>-0.14777324559892802</v>
      </c>
      <c r="Z213" s="7">
        <v>3.2882845835201291E-2</v>
      </c>
      <c r="AC213" s="7">
        <f t="shared" si="64"/>
        <v>0.36004689488788921</v>
      </c>
      <c r="AD213" s="7">
        <f t="shared" si="65"/>
        <v>0.28867124372871222</v>
      </c>
      <c r="AE213" s="6" t="s">
        <v>3</v>
      </c>
      <c r="AF213" s="6" t="s">
        <v>3</v>
      </c>
      <c r="AG213" s="6" t="s">
        <v>3</v>
      </c>
      <c r="AH213" s="6" t="s">
        <v>3</v>
      </c>
      <c r="AI213" s="6" t="s">
        <v>3</v>
      </c>
      <c r="AJ213" s="6" t="s">
        <v>3</v>
      </c>
      <c r="AK213" s="5">
        <f t="shared" si="66"/>
        <v>426.18763490830082</v>
      </c>
      <c r="AL213" s="7">
        <f t="shared" si="67"/>
        <v>-0.32716404905268792</v>
      </c>
      <c r="AM213" s="7">
        <f t="shared" si="68"/>
        <v>0.32155408956391351</v>
      </c>
    </row>
    <row r="214" spans="10:39" x14ac:dyDescent="0.25">
      <c r="J214" s="3">
        <v>208</v>
      </c>
      <c r="K214" s="7">
        <v>-0.14504451462985291</v>
      </c>
      <c r="L214" s="7">
        <f t="shared" si="58"/>
        <v>7.3556367680770547E-3</v>
      </c>
      <c r="M214" s="7">
        <f t="shared" ca="1" si="53"/>
        <v>-0.19981818032600812</v>
      </c>
      <c r="N214" s="7">
        <f t="shared" si="54"/>
        <v>-0.14504451462985291</v>
      </c>
      <c r="O214" s="7">
        <v>-7.2463921536341527E-2</v>
      </c>
      <c r="P214" s="7">
        <f t="shared" si="55"/>
        <v>3.1594764835206846E-2</v>
      </c>
      <c r="Q214" s="7">
        <f t="shared" si="59"/>
        <v>0.10405868637154837</v>
      </c>
      <c r="R214" s="7">
        <f t="shared" si="56"/>
        <v>-0.32774749161147909</v>
      </c>
      <c r="S214" s="7">
        <f t="shared" si="60"/>
        <v>-2.0422685606011008E-2</v>
      </c>
      <c r="T214" s="7">
        <f t="shared" si="61"/>
        <v>1</v>
      </c>
      <c r="U214" s="7">
        <f t="shared" si="57"/>
        <v>0.32034623127135697</v>
      </c>
      <c r="V214" s="7">
        <f t="shared" si="62"/>
        <v>3.731696451673136E-2</v>
      </c>
      <c r="W214" s="7">
        <f t="shared" si="63"/>
        <v>0</v>
      </c>
      <c r="X214" s="8" t="s">
        <v>3</v>
      </c>
      <c r="Y214" s="7">
        <v>-0.14504451462985291</v>
      </c>
      <c r="Z214" s="7">
        <v>3.1594764835206846E-2</v>
      </c>
      <c r="AC214" s="7">
        <f t="shared" si="64"/>
        <v>0.35934225644668594</v>
      </c>
      <c r="AD214" s="7">
        <f t="shared" si="65"/>
        <v>0.28875146643615013</v>
      </c>
      <c r="AE214" s="6" t="s">
        <v>3</v>
      </c>
      <c r="AF214" s="6" t="s">
        <v>3</v>
      </c>
      <c r="AG214" s="6" t="s">
        <v>3</v>
      </c>
      <c r="AH214" s="6" t="s">
        <v>3</v>
      </c>
      <c r="AI214" s="6" t="s">
        <v>3</v>
      </c>
      <c r="AJ214" s="6" t="s">
        <v>3</v>
      </c>
      <c r="AK214" s="5">
        <f t="shared" si="66"/>
        <v>427.55916754723188</v>
      </c>
      <c r="AL214" s="7">
        <f t="shared" si="67"/>
        <v>-0.32774749161147909</v>
      </c>
      <c r="AM214" s="7">
        <f t="shared" si="68"/>
        <v>0.32034623127135697</v>
      </c>
    </row>
    <row r="215" spans="10:39" x14ac:dyDescent="0.25">
      <c r="J215" s="3">
        <v>209</v>
      </c>
      <c r="K215" s="7">
        <v>-0.14354649476982373</v>
      </c>
      <c r="L215" s="7">
        <f t="shared" si="58"/>
        <v>7.0520975971142723E-3</v>
      </c>
      <c r="M215" s="7">
        <f t="shared" ca="1" si="53"/>
        <v>2.6273327239435318E-2</v>
      </c>
      <c r="N215" s="7">
        <f t="shared" si="54"/>
        <v>-0.14354649476982373</v>
      </c>
      <c r="O215" s="7">
        <v>-0.11668366844110273</v>
      </c>
      <c r="P215" s="7">
        <f t="shared" si="55"/>
        <v>3.0899801408065475E-2</v>
      </c>
      <c r="Q215" s="7">
        <f t="shared" si="59"/>
        <v>0.1475834698491682</v>
      </c>
      <c r="R215" s="7">
        <f t="shared" si="56"/>
        <v>-0.32805484794131345</v>
      </c>
      <c r="S215" s="7">
        <f t="shared" si="60"/>
        <v>-1.6909694360016859E-2</v>
      </c>
      <c r="T215" s="7">
        <f t="shared" si="61"/>
        <v>1</v>
      </c>
      <c r="U215" s="7">
        <f t="shared" si="57"/>
        <v>0.31973559529562801</v>
      </c>
      <c r="V215" s="7">
        <f t="shared" si="62"/>
        <v>4.1459830054989419E-2</v>
      </c>
      <c r="W215" s="7">
        <f t="shared" si="63"/>
        <v>0</v>
      </c>
      <c r="X215" s="8" t="s">
        <v>3</v>
      </c>
      <c r="Y215" s="7">
        <v>-0.14354649476982373</v>
      </c>
      <c r="Z215" s="7">
        <v>3.0899801408065475E-2</v>
      </c>
      <c r="AC215" s="7">
        <f t="shared" si="64"/>
        <v>0.35895464934937893</v>
      </c>
      <c r="AD215" s="7">
        <f t="shared" si="65"/>
        <v>0.28883579388756253</v>
      </c>
      <c r="AE215" s="6" t="s">
        <v>3</v>
      </c>
      <c r="AF215" s="6" t="s">
        <v>3</v>
      </c>
      <c r="AG215" s="6" t="s">
        <v>3</v>
      </c>
      <c r="AH215" s="6" t="s">
        <v>3</v>
      </c>
      <c r="AI215" s="6" t="s">
        <v>3</v>
      </c>
      <c r="AJ215" s="6" t="s">
        <v>3</v>
      </c>
      <c r="AK215" s="5">
        <f t="shared" si="66"/>
        <v>428.31211210464039</v>
      </c>
      <c r="AL215" s="7">
        <f t="shared" si="67"/>
        <v>-0.32805484794131345</v>
      </c>
      <c r="AM215" s="7">
        <f t="shared" si="68"/>
        <v>0.31973559529562801</v>
      </c>
    </row>
    <row r="216" spans="10:39" x14ac:dyDescent="0.25">
      <c r="J216" s="3">
        <v>210</v>
      </c>
      <c r="K216" s="7">
        <v>-0.14158624510697493</v>
      </c>
      <c r="L216" s="7">
        <f t="shared" si="58"/>
        <v>6.6692413173450602E-3</v>
      </c>
      <c r="M216" s="7">
        <f t="shared" ca="1" si="53"/>
        <v>-0.15658218767485563</v>
      </c>
      <c r="N216" s="7">
        <f t="shared" si="54"/>
        <v>-0.14158624510697493</v>
      </c>
      <c r="O216" s="7">
        <v>6.8469893821675926E-2</v>
      </c>
      <c r="P216" s="7">
        <f t="shared" si="55"/>
        <v>3.0003284327694058E-2</v>
      </c>
      <c r="Q216" s="7">
        <f t="shared" si="59"/>
        <v>-3.8466609493981868E-2</v>
      </c>
      <c r="R216" s="7">
        <f t="shared" si="56"/>
        <v>-0.32844337875452378</v>
      </c>
      <c r="S216" s="7">
        <f t="shared" si="60"/>
        <v>-3.1753061806095974E-2</v>
      </c>
      <c r="T216" s="7">
        <f t="shared" si="61"/>
        <v>1</v>
      </c>
      <c r="U216" s="7">
        <f t="shared" si="57"/>
        <v>0.3189938980815934</v>
      </c>
      <c r="V216" s="7">
        <f t="shared" si="62"/>
        <v>2.3799780404692161E-2</v>
      </c>
      <c r="W216" s="7">
        <f t="shared" si="63"/>
        <v>0</v>
      </c>
      <c r="X216" s="8" t="s">
        <v>3</v>
      </c>
      <c r="Y216" s="7">
        <v>-0.14158624510697493</v>
      </c>
      <c r="Z216" s="7">
        <v>3.0003284327694058E-2</v>
      </c>
      <c r="AC216" s="7">
        <f t="shared" si="64"/>
        <v>0.35844666308221784</v>
      </c>
      <c r="AD216" s="7">
        <f t="shared" si="65"/>
        <v>0.28899061375389934</v>
      </c>
      <c r="AE216" s="6" t="s">
        <v>3</v>
      </c>
      <c r="AF216" s="6" t="s">
        <v>3</v>
      </c>
      <c r="AG216" s="6" t="s">
        <v>3</v>
      </c>
      <c r="AH216" s="6" t="s">
        <v>3</v>
      </c>
      <c r="AI216" s="6" t="s">
        <v>3</v>
      </c>
      <c r="AJ216" s="6" t="s">
        <v>3</v>
      </c>
      <c r="AK216" s="5">
        <f t="shared" si="66"/>
        <v>429.29738563417487</v>
      </c>
      <c r="AL216" s="7">
        <f t="shared" si="67"/>
        <v>-0.32844337875452378</v>
      </c>
      <c r="AM216" s="7">
        <f t="shared" si="68"/>
        <v>0.3189938980815934</v>
      </c>
    </row>
    <row r="217" spans="10:39" x14ac:dyDescent="0.25">
      <c r="J217" s="3">
        <v>211</v>
      </c>
      <c r="K217" s="7">
        <v>-0.13778998766004347</v>
      </c>
      <c r="L217" s="7">
        <f t="shared" si="58"/>
        <v>5.9724658382365008E-3</v>
      </c>
      <c r="M217" s="7">
        <f t="shared" ca="1" si="53"/>
        <v>5.0600621205948396E-2</v>
      </c>
      <c r="N217" s="7">
        <f t="shared" si="54"/>
        <v>-0.13778998766004347</v>
      </c>
      <c r="O217" s="7">
        <v>0.36137337225911076</v>
      </c>
      <c r="P217" s="7">
        <f t="shared" si="55"/>
        <v>2.8308083436032749E-2</v>
      </c>
      <c r="Q217" s="7">
        <f t="shared" si="59"/>
        <v>-0.33306528882307801</v>
      </c>
      <c r="R217" s="7">
        <f t="shared" si="56"/>
        <v>-0.32915248697027</v>
      </c>
      <c r="S217" s="7">
        <f t="shared" si="60"/>
        <v>-5.5242068738350469E-2</v>
      </c>
      <c r="T217" s="7">
        <f t="shared" si="61"/>
        <v>1</v>
      </c>
      <c r="U217" s="7">
        <f t="shared" si="57"/>
        <v>0.31774705852507479</v>
      </c>
      <c r="V217" s="7">
        <f t="shared" si="62"/>
        <v>-3.9481813929302556E-2</v>
      </c>
      <c r="W217" s="7">
        <f t="shared" si="63"/>
        <v>1</v>
      </c>
      <c r="X217" s="8" t="s">
        <v>3</v>
      </c>
      <c r="Y217" s="7">
        <v>-0.13778998766004347</v>
      </c>
      <c r="Z217" s="7">
        <v>2.8308083436032749E-2</v>
      </c>
      <c r="AC217" s="7">
        <f t="shared" si="64"/>
        <v>0.35746057040630275</v>
      </c>
      <c r="AD217" s="7">
        <f t="shared" si="65"/>
        <v>0.28943897508904204</v>
      </c>
      <c r="AE217" s="6" t="s">
        <v>3</v>
      </c>
      <c r="AF217" s="6" t="s">
        <v>3</v>
      </c>
      <c r="AG217" s="6" t="s">
        <v>3</v>
      </c>
      <c r="AH217" s="6" t="s">
        <v>3</v>
      </c>
      <c r="AI217" s="6" t="s">
        <v>3</v>
      </c>
      <c r="AJ217" s="6" t="s">
        <v>3</v>
      </c>
      <c r="AK217" s="5">
        <f t="shared" si="66"/>
        <v>431.20548542607798</v>
      </c>
      <c r="AL217" s="7">
        <f t="shared" si="67"/>
        <v>-0.32915248697027</v>
      </c>
      <c r="AM217" s="7">
        <f t="shared" si="68"/>
        <v>0.31774705852507479</v>
      </c>
    </row>
    <row r="218" spans="10:39" x14ac:dyDescent="0.25">
      <c r="J218" s="3">
        <v>212</v>
      </c>
      <c r="K218" s="7">
        <v>-0.13598788358178493</v>
      </c>
      <c r="L218" s="7">
        <f t="shared" si="58"/>
        <v>5.6615841886383869E-3</v>
      </c>
      <c r="M218" s="7">
        <f t="shared" ca="1" si="53"/>
        <v>0.24532814066118491</v>
      </c>
      <c r="N218" s="7">
        <f t="shared" si="54"/>
        <v>-0.13598788358178493</v>
      </c>
      <c r="O218" s="7">
        <v>-0.2886850346608012</v>
      </c>
      <c r="P218" s="7">
        <f t="shared" si="55"/>
        <v>2.7522050815579124E-2</v>
      </c>
      <c r="Q218" s="7">
        <f t="shared" si="59"/>
        <v>0.31620708547638032</v>
      </c>
      <c r="R218" s="7">
        <f t="shared" si="56"/>
        <v>-0.32946944214073692</v>
      </c>
      <c r="S218" s="7">
        <f t="shared" si="60"/>
        <v>-3.2627525983948582E-3</v>
      </c>
      <c r="T218" s="7">
        <f t="shared" si="61"/>
        <v>1</v>
      </c>
      <c r="U218" s="7">
        <f t="shared" si="57"/>
        <v>0.31724496682130798</v>
      </c>
      <c r="V218" s="7">
        <f t="shared" si="62"/>
        <v>5.7563350140800371E-2</v>
      </c>
      <c r="W218" s="7">
        <f t="shared" si="63"/>
        <v>0</v>
      </c>
      <c r="X218" s="8" t="s">
        <v>3</v>
      </c>
      <c r="Y218" s="7">
        <v>-0.13598788358178493</v>
      </c>
      <c r="Z218" s="7">
        <v>2.7522050815579124E-2</v>
      </c>
      <c r="AC218" s="7">
        <f t="shared" si="64"/>
        <v>0.35699149295631605</v>
      </c>
      <c r="AD218" s="7">
        <f t="shared" si="65"/>
        <v>0.28972291600572886</v>
      </c>
      <c r="AE218" s="6" t="s">
        <v>3</v>
      </c>
      <c r="AF218" s="6" t="s">
        <v>3</v>
      </c>
      <c r="AG218" s="6" t="s">
        <v>3</v>
      </c>
      <c r="AH218" s="6" t="s">
        <v>3</v>
      </c>
      <c r="AI218" s="6" t="s">
        <v>3</v>
      </c>
      <c r="AJ218" s="6" t="s">
        <v>3</v>
      </c>
      <c r="AK218" s="5">
        <f t="shared" si="66"/>
        <v>432.11127078568057</v>
      </c>
      <c r="AL218" s="7">
        <f t="shared" si="67"/>
        <v>-0.32946944214073692</v>
      </c>
      <c r="AM218" s="7">
        <f t="shared" si="68"/>
        <v>0.31724496682130798</v>
      </c>
    </row>
    <row r="219" spans="10:39" x14ac:dyDescent="0.25">
      <c r="J219" s="3">
        <v>213</v>
      </c>
      <c r="K219" s="7">
        <v>-0.12924983375345289</v>
      </c>
      <c r="L219" s="7">
        <f t="shared" si="58"/>
        <v>4.6058620253915435E-3</v>
      </c>
      <c r="M219" s="7">
        <f t="shared" ca="1" si="53"/>
        <v>8.5477447562837899E-2</v>
      </c>
      <c r="N219" s="7">
        <f t="shared" si="54"/>
        <v>-0.12924983375345289</v>
      </c>
      <c r="O219" s="7">
        <v>-0.1568756003767634</v>
      </c>
      <c r="P219" s="7">
        <f t="shared" si="55"/>
        <v>2.4687495505176571E-2</v>
      </c>
      <c r="Q219" s="7">
        <f t="shared" si="59"/>
        <v>0.18156309588193997</v>
      </c>
      <c r="R219" s="7">
        <f t="shared" si="56"/>
        <v>-0.33054549125860078</v>
      </c>
      <c r="S219" s="7">
        <f t="shared" si="60"/>
        <v>-1.389359127054699E-2</v>
      </c>
      <c r="T219" s="7">
        <f t="shared" si="61"/>
        <v>1</v>
      </c>
      <c r="U219" s="7">
        <f t="shared" si="57"/>
        <v>0.3159015571126349</v>
      </c>
      <c r="V219" s="7">
        <f t="shared" si="62"/>
        <v>4.4913829961492839E-2</v>
      </c>
      <c r="W219" s="7">
        <f t="shared" si="63"/>
        <v>0</v>
      </c>
      <c r="X219" s="8" t="s">
        <v>3</v>
      </c>
      <c r="Y219" s="7">
        <v>-0.12924983375345289</v>
      </c>
      <c r="Z219" s="7">
        <v>2.4687495505176571E-2</v>
      </c>
      <c r="AC219" s="7">
        <f t="shared" si="64"/>
        <v>0.35523298676377735</v>
      </c>
      <c r="AD219" s="7">
        <f t="shared" si="65"/>
        <v>0.29121406160745833</v>
      </c>
      <c r="AE219" s="6" t="s">
        <v>3</v>
      </c>
      <c r="AF219" s="6" t="s">
        <v>3</v>
      </c>
      <c r="AG219" s="6" t="s">
        <v>3</v>
      </c>
      <c r="AH219" s="6" t="s">
        <v>3</v>
      </c>
      <c r="AI219" s="6" t="s">
        <v>3</v>
      </c>
      <c r="AJ219" s="6" t="s">
        <v>3</v>
      </c>
      <c r="AK219" s="5">
        <f t="shared" si="66"/>
        <v>435.49799353960373</v>
      </c>
      <c r="AL219" s="7">
        <f t="shared" si="67"/>
        <v>-0.33054549125860078</v>
      </c>
      <c r="AM219" s="7">
        <f t="shared" si="68"/>
        <v>0.3159015571126349</v>
      </c>
    </row>
    <row r="220" spans="10:39" x14ac:dyDescent="0.25">
      <c r="J220" s="3">
        <v>214</v>
      </c>
      <c r="K220" s="7">
        <v>-0.12804653068213034</v>
      </c>
      <c r="L220" s="7">
        <f t="shared" si="58"/>
        <v>4.4341774957998353E-3</v>
      </c>
      <c r="M220" s="7">
        <f t="shared" ca="1" si="53"/>
        <v>0.30782656228459593</v>
      </c>
      <c r="N220" s="7">
        <f t="shared" si="54"/>
        <v>-0.12804653068213034</v>
      </c>
      <c r="O220" s="7">
        <v>-0.37036654721008294</v>
      </c>
      <c r="P220" s="7">
        <f t="shared" si="55"/>
        <v>2.4198356565121149E-2</v>
      </c>
      <c r="Q220" s="7">
        <f t="shared" si="59"/>
        <v>0.39456490377520409</v>
      </c>
      <c r="R220" s="7">
        <f t="shared" si="56"/>
        <v>-0.33071994742896393</v>
      </c>
      <c r="S220" s="7">
        <f t="shared" si="60"/>
        <v>3.6474871798629488E-2</v>
      </c>
      <c r="T220" s="7">
        <f t="shared" si="61"/>
        <v>0</v>
      </c>
      <c r="U220" s="7">
        <f t="shared" si="57"/>
        <v>0.31575319922090417</v>
      </c>
      <c r="V220" s="7">
        <f t="shared" si="62"/>
        <v>6.5181375910943778E-2</v>
      </c>
      <c r="W220" s="7">
        <f t="shared" si="63"/>
        <v>0</v>
      </c>
      <c r="X220" s="8" t="s">
        <v>3</v>
      </c>
      <c r="Y220" s="7">
        <v>-0.12804653068213034</v>
      </c>
      <c r="Z220" s="7">
        <v>2.4198356565121149E-2</v>
      </c>
      <c r="AC220" s="7">
        <f t="shared" si="64"/>
        <v>0.35491830399408508</v>
      </c>
      <c r="AD220" s="7">
        <f t="shared" si="65"/>
        <v>0.29155484265578302</v>
      </c>
      <c r="AE220" s="6" t="s">
        <v>3</v>
      </c>
      <c r="AF220" s="6" t="s">
        <v>3</v>
      </c>
      <c r="AG220" s="6" t="s">
        <v>3</v>
      </c>
      <c r="AH220" s="6" t="s">
        <v>3</v>
      </c>
      <c r="AI220" s="6" t="s">
        <v>3</v>
      </c>
      <c r="AJ220" s="6" t="s">
        <v>3</v>
      </c>
      <c r="AK220" s="5">
        <f t="shared" si="66"/>
        <v>436.10280561362225</v>
      </c>
      <c r="AL220" s="7">
        <f t="shared" si="67"/>
        <v>-0.33071994742896393</v>
      </c>
      <c r="AM220" s="7">
        <f t="shared" si="68"/>
        <v>0.31575319922090417</v>
      </c>
    </row>
    <row r="221" spans="10:39" x14ac:dyDescent="0.25">
      <c r="J221" s="3">
        <v>215</v>
      </c>
      <c r="K221" s="7">
        <v>-0.12691245570248544</v>
      </c>
      <c r="L221" s="7">
        <f t="shared" si="58"/>
        <v>4.2768259051060966E-3</v>
      </c>
      <c r="M221" s="7">
        <f t="shared" ca="1" si="53"/>
        <v>-0.11756861850008138</v>
      </c>
      <c r="N221" s="7">
        <f t="shared" si="54"/>
        <v>-0.12691245570248544</v>
      </c>
      <c r="O221" s="7">
        <v>8.2685010984512475E-2</v>
      </c>
      <c r="P221" s="7">
        <f t="shared" si="55"/>
        <v>2.374202425714822E-2</v>
      </c>
      <c r="Q221" s="7">
        <f t="shared" si="59"/>
        <v>-5.8942986727364255E-2</v>
      </c>
      <c r="R221" s="7">
        <f t="shared" si="56"/>
        <v>-0.3308795564264857</v>
      </c>
      <c r="S221" s="7">
        <f t="shared" si="60"/>
        <v>-3.3085165392879853E-2</v>
      </c>
      <c r="T221" s="7">
        <f t="shared" si="61"/>
        <v>1</v>
      </c>
      <c r="U221" s="7">
        <f t="shared" si="57"/>
        <v>0.31563952093313308</v>
      </c>
      <c r="V221" s="7">
        <f t="shared" si="62"/>
        <v>2.2130678445118956E-2</v>
      </c>
      <c r="W221" s="7">
        <f t="shared" si="63"/>
        <v>0</v>
      </c>
      <c r="X221" s="8" t="s">
        <v>3</v>
      </c>
      <c r="Y221" s="7">
        <v>-0.12691245570248544</v>
      </c>
      <c r="Z221" s="7">
        <v>2.374202425714822E-2</v>
      </c>
      <c r="AC221" s="7">
        <f t="shared" si="64"/>
        <v>0.35462158068363392</v>
      </c>
      <c r="AD221" s="7">
        <f t="shared" si="65"/>
        <v>0.29189749667598486</v>
      </c>
      <c r="AE221" s="6" t="s">
        <v>3</v>
      </c>
      <c r="AF221" s="6" t="s">
        <v>3</v>
      </c>
      <c r="AG221" s="6" t="s">
        <v>3</v>
      </c>
      <c r="AH221" s="6" t="s">
        <v>3</v>
      </c>
      <c r="AI221" s="6" t="s">
        <v>3</v>
      </c>
      <c r="AJ221" s="6" t="s">
        <v>3</v>
      </c>
      <c r="AK221" s="5">
        <f t="shared" si="66"/>
        <v>436.67282181060386</v>
      </c>
      <c r="AL221" s="7">
        <f t="shared" si="67"/>
        <v>-0.3308795564264857</v>
      </c>
      <c r="AM221" s="7">
        <f t="shared" si="68"/>
        <v>0.31563952093313308</v>
      </c>
    </row>
    <row r="222" spans="10:39" x14ac:dyDescent="0.25">
      <c r="J222" s="3">
        <v>216</v>
      </c>
      <c r="K222" s="7">
        <v>-0.11432387402841848</v>
      </c>
      <c r="L222" s="7">
        <f t="shared" si="58"/>
        <v>2.7980918357509823E-3</v>
      </c>
      <c r="M222" s="7">
        <f t="shared" ca="1" si="53"/>
        <v>0.33104646829519679</v>
      </c>
      <c r="N222" s="7">
        <f t="shared" si="54"/>
        <v>-0.11432387402841848</v>
      </c>
      <c r="O222" s="7">
        <v>4.3207868882531225E-2</v>
      </c>
      <c r="P222" s="7">
        <f t="shared" si="55"/>
        <v>1.8973866839510301E-2</v>
      </c>
      <c r="Q222" s="7">
        <f t="shared" si="59"/>
        <v>-2.4234002043020925E-2</v>
      </c>
      <c r="R222" s="7">
        <f t="shared" si="56"/>
        <v>-0.33234840335083415</v>
      </c>
      <c r="S222" s="7">
        <f t="shared" si="60"/>
        <v>-3.0044501778669234E-2</v>
      </c>
      <c r="T222" s="7">
        <f t="shared" si="61"/>
        <v>1</v>
      </c>
      <c r="U222" s="7">
        <f t="shared" si="57"/>
        <v>0.31615885204923355</v>
      </c>
      <c r="V222" s="7">
        <f t="shared" si="62"/>
        <v>2.593034340083672E-2</v>
      </c>
      <c r="W222" s="7">
        <f t="shared" si="63"/>
        <v>0</v>
      </c>
      <c r="X222" s="8" t="s">
        <v>3</v>
      </c>
      <c r="Y222" s="7">
        <v>-0.11432387402841848</v>
      </c>
      <c r="Z222" s="7">
        <v>1.8973866839510301E-2</v>
      </c>
      <c r="AC222" s="7">
        <f t="shared" si="64"/>
        <v>0.35132227019034445</v>
      </c>
      <c r="AD222" s="7">
        <f t="shared" si="65"/>
        <v>0.29718498520972325</v>
      </c>
      <c r="AE222" s="6" t="s">
        <v>3</v>
      </c>
      <c r="AF222" s="6" t="s">
        <v>3</v>
      </c>
      <c r="AG222" s="6" t="s">
        <v>3</v>
      </c>
      <c r="AH222" s="6" t="s">
        <v>3</v>
      </c>
      <c r="AI222" s="6" t="s">
        <v>3</v>
      </c>
      <c r="AJ222" s="6" t="s">
        <v>3</v>
      </c>
      <c r="AK222" s="5">
        <f t="shared" si="66"/>
        <v>443.00017721482124</v>
      </c>
      <c r="AL222" s="7">
        <f t="shared" si="67"/>
        <v>-0.33234840335083415</v>
      </c>
      <c r="AM222" s="7">
        <f t="shared" si="68"/>
        <v>0.31615885204923355</v>
      </c>
    </row>
    <row r="223" spans="10:39" x14ac:dyDescent="0.25">
      <c r="J223" s="3">
        <v>217</v>
      </c>
      <c r="K223" s="7">
        <v>-0.10871292885710382</v>
      </c>
      <c r="L223" s="7">
        <f t="shared" si="58"/>
        <v>2.2808824670006974E-3</v>
      </c>
      <c r="M223" s="7">
        <f t="shared" ca="1" si="53"/>
        <v>-3.0019415291994145E-3</v>
      </c>
      <c r="N223" s="7">
        <f t="shared" si="54"/>
        <v>-0.10871292885710382</v>
      </c>
      <c r="O223" s="7">
        <v>-2.7493777195138916E-2</v>
      </c>
      <c r="P223" s="7">
        <f t="shared" si="55"/>
        <v>1.7019521124931547E-2</v>
      </c>
      <c r="Q223" s="7">
        <f t="shared" si="59"/>
        <v>4.4513298320070463E-2</v>
      </c>
      <c r="R223" s="7">
        <f t="shared" si="56"/>
        <v>-0.33283203038940101</v>
      </c>
      <c r="S223" s="7">
        <f t="shared" si="60"/>
        <v>-2.4427060255540971E-2</v>
      </c>
      <c r="T223" s="7">
        <f t="shared" si="61"/>
        <v>1</v>
      </c>
      <c r="U223" s="7">
        <f t="shared" si="57"/>
        <v>0.31749721233136352</v>
      </c>
      <c r="V223" s="7">
        <f t="shared" si="62"/>
        <v>3.2774144005017727E-2</v>
      </c>
      <c r="W223" s="7">
        <f t="shared" si="63"/>
        <v>0</v>
      </c>
      <c r="X223" s="8" t="s">
        <v>3</v>
      </c>
      <c r="Y223" s="7">
        <v>-0.10871292885710382</v>
      </c>
      <c r="Z223" s="7">
        <v>1.7019521124931547E-2</v>
      </c>
      <c r="AC223" s="7">
        <f t="shared" si="64"/>
        <v>0.34985155151433256</v>
      </c>
      <c r="AD223" s="7">
        <f t="shared" si="65"/>
        <v>0.30047769120643197</v>
      </c>
      <c r="AE223" s="6" t="s">
        <v>3</v>
      </c>
      <c r="AF223" s="6" t="s">
        <v>3</v>
      </c>
      <c r="AG223" s="6" t="s">
        <v>3</v>
      </c>
      <c r="AH223" s="6" t="s">
        <v>3</v>
      </c>
      <c r="AI223" s="6" t="s">
        <v>3</v>
      </c>
      <c r="AJ223" s="6" t="s">
        <v>3</v>
      </c>
      <c r="AK223" s="5">
        <f t="shared" si="66"/>
        <v>445.82038724099294</v>
      </c>
      <c r="AL223" s="7">
        <f t="shared" si="67"/>
        <v>-0.33283203038940101</v>
      </c>
      <c r="AM223" s="7">
        <f t="shared" si="68"/>
        <v>0.31749721233136352</v>
      </c>
    </row>
    <row r="224" spans="10:39" x14ac:dyDescent="0.25">
      <c r="J224" s="3">
        <v>218</v>
      </c>
      <c r="K224" s="7">
        <v>-0.10733784815505154</v>
      </c>
      <c r="L224" s="7">
        <f t="shared" si="58"/>
        <v>2.165975617854679E-3</v>
      </c>
      <c r="M224" s="7">
        <f t="shared" ca="1" si="53"/>
        <v>0.1565849401362481</v>
      </c>
      <c r="N224" s="7">
        <f t="shared" si="54"/>
        <v>-0.10733784815505154</v>
      </c>
      <c r="O224" s="7">
        <v>8.3724287670012346E-2</v>
      </c>
      <c r="P224" s="7">
        <f t="shared" si="55"/>
        <v>1.6556220406159561E-2</v>
      </c>
      <c r="Q224" s="7">
        <f t="shared" si="59"/>
        <v>-6.7168067263852785E-2</v>
      </c>
      <c r="R224" s="7">
        <f t="shared" si="56"/>
        <v>-0.33293520589108816</v>
      </c>
      <c r="S224" s="7">
        <f t="shared" si="60"/>
        <v>-3.3332759484888043E-2</v>
      </c>
      <c r="T224" s="7">
        <f t="shared" si="61"/>
        <v>1</v>
      </c>
      <c r="U224" s="7">
        <f t="shared" si="57"/>
        <v>0.31793365306991372</v>
      </c>
      <c r="V224" s="7">
        <f t="shared" si="62"/>
        <v>2.2249889712990634E-2</v>
      </c>
      <c r="W224" s="7">
        <f t="shared" si="63"/>
        <v>0</v>
      </c>
      <c r="X224" s="8" t="s">
        <v>3</v>
      </c>
      <c r="Y224" s="7">
        <v>-0.10733784815505154</v>
      </c>
      <c r="Z224" s="7">
        <v>1.6556220406159561E-2</v>
      </c>
      <c r="AC224" s="7">
        <f t="shared" si="64"/>
        <v>0.34949142629724772</v>
      </c>
      <c r="AD224" s="7">
        <f t="shared" si="65"/>
        <v>0.30137743266375416</v>
      </c>
      <c r="AE224" s="6" t="s">
        <v>3</v>
      </c>
      <c r="AF224" s="6" t="s">
        <v>3</v>
      </c>
      <c r="AG224" s="6" t="s">
        <v>3</v>
      </c>
      <c r="AH224" s="6" t="s">
        <v>3</v>
      </c>
      <c r="AI224" s="6" t="s">
        <v>3</v>
      </c>
      <c r="AJ224" s="6" t="s">
        <v>3</v>
      </c>
      <c r="AK224" s="5">
        <f t="shared" si="66"/>
        <v>446.51153931329424</v>
      </c>
      <c r="AL224" s="7">
        <f t="shared" si="67"/>
        <v>-0.33293520589108816</v>
      </c>
      <c r="AM224" s="7">
        <f t="shared" si="68"/>
        <v>0.31793365306991372</v>
      </c>
    </row>
    <row r="225" spans="10:39" x14ac:dyDescent="0.25">
      <c r="J225" s="3">
        <v>219</v>
      </c>
      <c r="K225" s="7">
        <v>-0.10477972003930125</v>
      </c>
      <c r="L225" s="7">
        <f t="shared" si="58"/>
        <v>1.9638877405372211E-3</v>
      </c>
      <c r="M225" s="7">
        <f t="shared" ca="1" si="53"/>
        <v>-0.12069363851122802</v>
      </c>
      <c r="N225" s="7">
        <f t="shared" si="54"/>
        <v>-0.10477972003930125</v>
      </c>
      <c r="O225" s="7">
        <v>0.11516857454054252</v>
      </c>
      <c r="P225" s="7">
        <f t="shared" si="55"/>
        <v>1.5710516877848413E-2</v>
      </c>
      <c r="Q225" s="7">
        <f t="shared" si="59"/>
        <v>-9.945805766269411E-2</v>
      </c>
      <c r="R225" s="7">
        <f t="shared" si="56"/>
        <v>-0.33311144741588805</v>
      </c>
      <c r="S225" s="7">
        <f t="shared" si="60"/>
        <v>-3.5862401756514443E-2</v>
      </c>
      <c r="T225" s="7">
        <f t="shared" si="61"/>
        <v>1</v>
      </c>
      <c r="U225" s="7">
        <f t="shared" si="57"/>
        <v>0.31886071640847025</v>
      </c>
      <c r="V225" s="7">
        <f t="shared" si="62"/>
        <v>1.9350753477453134E-2</v>
      </c>
      <c r="W225" s="7">
        <f t="shared" si="63"/>
        <v>0</v>
      </c>
      <c r="X225" s="8" t="s">
        <v>3</v>
      </c>
      <c r="Y225" s="7">
        <v>-0.10477972003930125</v>
      </c>
      <c r="Z225" s="7">
        <v>1.5710516877848413E-2</v>
      </c>
      <c r="AC225" s="7">
        <f t="shared" si="64"/>
        <v>0.34882196429373646</v>
      </c>
      <c r="AD225" s="7">
        <f t="shared" si="65"/>
        <v>0.30315019953062183</v>
      </c>
      <c r="AE225" s="6" t="s">
        <v>3</v>
      </c>
      <c r="AF225" s="6" t="s">
        <v>3</v>
      </c>
      <c r="AG225" s="6" t="s">
        <v>3</v>
      </c>
      <c r="AH225" s="6" t="s">
        <v>3</v>
      </c>
      <c r="AI225" s="6" t="s">
        <v>3</v>
      </c>
      <c r="AJ225" s="6" t="s">
        <v>3</v>
      </c>
      <c r="AK225" s="5">
        <f t="shared" si="66"/>
        <v>447.79732242825924</v>
      </c>
      <c r="AL225" s="7">
        <f t="shared" si="67"/>
        <v>-0.33311144741588805</v>
      </c>
      <c r="AM225" s="7">
        <f t="shared" si="68"/>
        <v>0.31886071640847025</v>
      </c>
    </row>
    <row r="226" spans="10:39" x14ac:dyDescent="0.25">
      <c r="J226" s="3">
        <v>220</v>
      </c>
      <c r="K226" s="7">
        <v>-0.10356566754414986</v>
      </c>
      <c r="L226" s="7">
        <f t="shared" si="58"/>
        <v>1.8731209291016388E-3</v>
      </c>
      <c r="M226" s="7">
        <f t="shared" ca="1" si="53"/>
        <v>-0.11062017698075827</v>
      </c>
      <c r="N226" s="7">
        <f t="shared" si="54"/>
        <v>-0.10356566754414986</v>
      </c>
      <c r="O226" s="7">
        <v>-0.20428054415841942</v>
      </c>
      <c r="P226" s="7">
        <f t="shared" si="55"/>
        <v>1.5316483247652002E-2</v>
      </c>
      <c r="Q226" s="7">
        <f t="shared" si="59"/>
        <v>0.21959702740607143</v>
      </c>
      <c r="R226" s="7">
        <f t="shared" si="56"/>
        <v>-0.33318803420376764</v>
      </c>
      <c r="S226" s="7">
        <f t="shared" si="60"/>
        <v>-1.0312599203627856E-2</v>
      </c>
      <c r="T226" s="7">
        <f t="shared" si="61"/>
        <v>1</v>
      </c>
      <c r="U226" s="7">
        <f t="shared" si="57"/>
        <v>0.31935336191279351</v>
      </c>
      <c r="V226" s="7">
        <f t="shared" si="62"/>
        <v>4.9745221076765232E-2</v>
      </c>
      <c r="W226" s="7">
        <f t="shared" si="63"/>
        <v>0</v>
      </c>
      <c r="X226" s="8" t="s">
        <v>3</v>
      </c>
      <c r="Y226" s="7">
        <v>-0.10356566754414986</v>
      </c>
      <c r="Z226" s="7">
        <v>1.5316483247652002E-2</v>
      </c>
      <c r="AC226" s="7">
        <f t="shared" si="64"/>
        <v>0.34850451745141964</v>
      </c>
      <c r="AD226" s="7">
        <f t="shared" si="65"/>
        <v>0.30403687866514151</v>
      </c>
      <c r="AE226" s="6" t="s">
        <v>3</v>
      </c>
      <c r="AF226" s="6" t="s">
        <v>3</v>
      </c>
      <c r="AG226" s="6" t="s">
        <v>3</v>
      </c>
      <c r="AH226" s="6" t="s">
        <v>3</v>
      </c>
      <c r="AI226" s="6" t="s">
        <v>3</v>
      </c>
      <c r="AJ226" s="6" t="s">
        <v>3</v>
      </c>
      <c r="AK226" s="5">
        <f t="shared" si="66"/>
        <v>448.40753744811525</v>
      </c>
      <c r="AL226" s="7">
        <f t="shared" si="67"/>
        <v>-0.33318803420376764</v>
      </c>
      <c r="AM226" s="7">
        <f t="shared" si="68"/>
        <v>0.31935336191279351</v>
      </c>
    </row>
    <row r="227" spans="10:39" x14ac:dyDescent="0.25">
      <c r="J227" s="3">
        <v>221</v>
      </c>
      <c r="K227" s="7">
        <v>-0.10338175015586781</v>
      </c>
      <c r="L227" s="7">
        <f t="shared" si="58"/>
        <v>1.8596518418605805E-3</v>
      </c>
      <c r="M227" s="7">
        <f t="shared" ca="1" si="53"/>
        <v>-5.6543595751460826E-2</v>
      </c>
      <c r="N227" s="7">
        <f t="shared" si="54"/>
        <v>-0.10338175015586781</v>
      </c>
      <c r="O227" s="7">
        <v>-0.41970158567226634</v>
      </c>
      <c r="P227" s="7">
        <f t="shared" si="55"/>
        <v>1.5257200227190904E-2</v>
      </c>
      <c r="Q227" s="7">
        <f t="shared" si="59"/>
        <v>0.43495878589945725</v>
      </c>
      <c r="R227" s="7">
        <f t="shared" si="56"/>
        <v>-0.3331992442159768</v>
      </c>
      <c r="S227" s="7">
        <f t="shared" si="60"/>
        <v>7.9582154139786379E-2</v>
      </c>
      <c r="T227" s="7">
        <f t="shared" si="61"/>
        <v>0</v>
      </c>
      <c r="U227" s="7">
        <f t="shared" si="57"/>
        <v>0.3194309593080531</v>
      </c>
      <c r="V227" s="7">
        <f t="shared" si="62"/>
        <v>7.0217591773130347E-2</v>
      </c>
      <c r="W227" s="7">
        <f t="shared" si="63"/>
        <v>0</v>
      </c>
      <c r="X227" s="8" t="s">
        <v>3</v>
      </c>
      <c r="Y227" s="7">
        <v>-0.10338175015586781</v>
      </c>
      <c r="Z227" s="7">
        <v>1.5257200227190904E-2</v>
      </c>
      <c r="AC227" s="7">
        <f t="shared" si="64"/>
        <v>0.3484564444431677</v>
      </c>
      <c r="AD227" s="7">
        <f t="shared" si="65"/>
        <v>0.30417375908086219</v>
      </c>
      <c r="AE227" s="6" t="s">
        <v>3</v>
      </c>
      <c r="AF227" s="6" t="s">
        <v>3</v>
      </c>
      <c r="AG227" s="6" t="s">
        <v>3</v>
      </c>
      <c r="AH227" s="6" t="s">
        <v>3</v>
      </c>
      <c r="AI227" s="6" t="s">
        <v>3</v>
      </c>
      <c r="AJ227" s="6" t="s">
        <v>3</v>
      </c>
      <c r="AK227" s="5">
        <f t="shared" si="66"/>
        <v>448.49997921088135</v>
      </c>
      <c r="AL227" s="7">
        <f t="shared" si="67"/>
        <v>-0.3331992442159768</v>
      </c>
      <c r="AM227" s="7">
        <f t="shared" si="68"/>
        <v>0.3194309593080531</v>
      </c>
    </row>
    <row r="228" spans="10:39" x14ac:dyDescent="0.25">
      <c r="J228" s="3">
        <v>222</v>
      </c>
      <c r="K228" s="7">
        <v>-0.10049017366295132</v>
      </c>
      <c r="L228" s="7">
        <f t="shared" si="58"/>
        <v>1.6573419992222443E-3</v>
      </c>
      <c r="M228" s="7">
        <f t="shared" ca="1" si="53"/>
        <v>-0.47894018722549164</v>
      </c>
      <c r="N228" s="7">
        <f t="shared" si="54"/>
        <v>-0.10049017366295132</v>
      </c>
      <c r="O228" s="7">
        <v>0.15709692634038303</v>
      </c>
      <c r="P228" s="7">
        <f t="shared" si="55"/>
        <v>1.433923020019412E-2</v>
      </c>
      <c r="Q228" s="7">
        <f t="shared" si="59"/>
        <v>-0.14275769614018891</v>
      </c>
      <c r="R228" s="7">
        <f t="shared" si="56"/>
        <v>-0.33336207259863393</v>
      </c>
      <c r="S228" s="7">
        <f t="shared" si="60"/>
        <v>-3.9236719915121357E-2</v>
      </c>
      <c r="T228" s="7">
        <f t="shared" si="61"/>
        <v>1</v>
      </c>
      <c r="U228" s="7">
        <f t="shared" si="57"/>
        <v>0.32075375614805202</v>
      </c>
      <c r="V228" s="7">
        <f t="shared" si="62"/>
        <v>1.5547398831728555E-2</v>
      </c>
      <c r="W228" s="7">
        <f t="shared" si="63"/>
        <v>0</v>
      </c>
      <c r="X228" s="8" t="s">
        <v>3</v>
      </c>
      <c r="Y228" s="7">
        <v>-0.10049017366295132</v>
      </c>
      <c r="Z228" s="7">
        <v>1.433923020019412E-2</v>
      </c>
      <c r="AC228" s="7">
        <f t="shared" si="64"/>
        <v>0.34770130279882805</v>
      </c>
      <c r="AD228" s="7">
        <f t="shared" si="65"/>
        <v>0.3064145259478579</v>
      </c>
      <c r="AE228" s="6" t="s">
        <v>3</v>
      </c>
      <c r="AF228" s="6" t="s">
        <v>3</v>
      </c>
      <c r="AG228" s="6" t="s">
        <v>3</v>
      </c>
      <c r="AH228" s="6" t="s">
        <v>3</v>
      </c>
      <c r="AI228" s="6" t="s">
        <v>3</v>
      </c>
      <c r="AJ228" s="6" t="s">
        <v>3</v>
      </c>
      <c r="AK228" s="5">
        <f t="shared" si="66"/>
        <v>449.95336233400582</v>
      </c>
      <c r="AL228" s="7">
        <f t="shared" si="67"/>
        <v>-0.33336207259863393</v>
      </c>
      <c r="AM228" s="7">
        <f t="shared" si="68"/>
        <v>0.32075375614805202</v>
      </c>
    </row>
    <row r="229" spans="10:39" x14ac:dyDescent="0.25">
      <c r="J229" s="3">
        <v>223</v>
      </c>
      <c r="K229" s="7">
        <v>-0.10019933003928072</v>
      </c>
      <c r="L229" s="7">
        <f t="shared" si="58"/>
        <v>1.6379548366217641E-3</v>
      </c>
      <c r="M229" s="7">
        <f t="shared" ca="1" si="53"/>
        <v>-0.53981175158881589</v>
      </c>
      <c r="N229" s="7">
        <f t="shared" si="54"/>
        <v>-0.10019933003928072</v>
      </c>
      <c r="O229" s="7">
        <v>0.22792943433560181</v>
      </c>
      <c r="P229" s="7">
        <f t="shared" si="55"/>
        <v>1.4248358372800141E-2</v>
      </c>
      <c r="Q229" s="7">
        <f t="shared" si="59"/>
        <v>-0.21368107596280167</v>
      </c>
      <c r="R229" s="7">
        <f t="shared" si="56"/>
        <v>-0.33337706590562188</v>
      </c>
      <c r="S229" s="7">
        <f t="shared" si="60"/>
        <v>-4.4904520019297893E-2</v>
      </c>
      <c r="T229" s="7">
        <f t="shared" si="61"/>
        <v>1</v>
      </c>
      <c r="U229" s="7">
        <f t="shared" si="57"/>
        <v>0.32089751456158355</v>
      </c>
      <c r="V229" s="7">
        <f t="shared" si="62"/>
        <v>8.8319676214682653E-3</v>
      </c>
      <c r="W229" s="7">
        <f t="shared" si="63"/>
        <v>0</v>
      </c>
      <c r="X229" s="8" t="s">
        <v>3</v>
      </c>
      <c r="Y229" s="7">
        <v>-0.10019933003928072</v>
      </c>
      <c r="Z229" s="7">
        <v>1.4248358372800141E-2</v>
      </c>
      <c r="AC229" s="7">
        <f t="shared" si="64"/>
        <v>0.34762542427842202</v>
      </c>
      <c r="AD229" s="7">
        <f t="shared" si="65"/>
        <v>0.30664915618878341</v>
      </c>
      <c r="AE229" s="6" t="s">
        <v>3</v>
      </c>
      <c r="AF229" s="6" t="s">
        <v>3</v>
      </c>
      <c r="AG229" s="6" t="s">
        <v>3</v>
      </c>
      <c r="AH229" s="6" t="s">
        <v>3</v>
      </c>
      <c r="AI229" s="6" t="s">
        <v>3</v>
      </c>
      <c r="AJ229" s="6" t="s">
        <v>3</v>
      </c>
      <c r="AK229" s="5">
        <f t="shared" si="66"/>
        <v>450.09954806180747</v>
      </c>
      <c r="AL229" s="7">
        <f t="shared" si="67"/>
        <v>-0.33337706590562188</v>
      </c>
      <c r="AM229" s="7">
        <f t="shared" si="68"/>
        <v>0.32089751456158355</v>
      </c>
    </row>
    <row r="230" spans="10:39" x14ac:dyDescent="0.25">
      <c r="J230" s="3">
        <v>224</v>
      </c>
      <c r="K230" s="7">
        <v>-9.9578929710305797E-2</v>
      </c>
      <c r="L230" s="7">
        <f t="shared" si="58"/>
        <v>1.5971723086973266E-3</v>
      </c>
      <c r="M230" s="7">
        <f t="shared" ca="1" si="53"/>
        <v>0.20132398191819711</v>
      </c>
      <c r="N230" s="7">
        <f t="shared" si="54"/>
        <v>-9.9578929710305797E-2</v>
      </c>
      <c r="O230" s="7">
        <v>-1.034294956866591E-2</v>
      </c>
      <c r="P230" s="7">
        <f t="shared" si="55"/>
        <v>1.4055407249789376E-2</v>
      </c>
      <c r="Q230" s="7">
        <f t="shared" si="59"/>
        <v>2.4398356818455286E-2</v>
      </c>
      <c r="R230" s="7">
        <f t="shared" si="56"/>
        <v>-0.33340821086127193</v>
      </c>
      <c r="S230" s="7">
        <f t="shared" si="60"/>
        <v>-2.5845220903408486E-2</v>
      </c>
      <c r="T230" s="7">
        <f t="shared" si="61"/>
        <v>1</v>
      </c>
      <c r="U230" s="7">
        <f t="shared" si="57"/>
        <v>0.32121070689406439</v>
      </c>
      <c r="V230" s="7">
        <f t="shared" si="62"/>
        <v>3.1497597363959379E-2</v>
      </c>
      <c r="W230" s="7">
        <f t="shared" si="63"/>
        <v>0</v>
      </c>
      <c r="X230" s="8" t="s">
        <v>3</v>
      </c>
      <c r="Y230" s="7">
        <v>-9.9578929710305797E-2</v>
      </c>
      <c r="Z230" s="7">
        <v>1.4055407249789376E-2</v>
      </c>
      <c r="AC230" s="7">
        <f t="shared" si="64"/>
        <v>0.3474636181110613</v>
      </c>
      <c r="AD230" s="7">
        <f t="shared" si="65"/>
        <v>0.30715529964427501</v>
      </c>
      <c r="AE230" s="6" t="s">
        <v>3</v>
      </c>
      <c r="AF230" s="6" t="s">
        <v>3</v>
      </c>
      <c r="AG230" s="6" t="s">
        <v>3</v>
      </c>
      <c r="AH230" s="6" t="s">
        <v>3</v>
      </c>
      <c r="AI230" s="6" t="s">
        <v>3</v>
      </c>
      <c r="AJ230" s="6" t="s">
        <v>3</v>
      </c>
      <c r="AK230" s="5">
        <f t="shared" si="66"/>
        <v>450.41137774015834</v>
      </c>
      <c r="AL230" s="7">
        <f t="shared" si="67"/>
        <v>-0.33340821086127193</v>
      </c>
      <c r="AM230" s="7">
        <f t="shared" si="68"/>
        <v>0.32121070689406439</v>
      </c>
    </row>
    <row r="231" spans="10:39" x14ac:dyDescent="0.25">
      <c r="J231" s="3">
        <v>225</v>
      </c>
      <c r="K231" s="7">
        <v>-9.9365905805647525E-2</v>
      </c>
      <c r="L231" s="7">
        <f t="shared" si="58"/>
        <v>1.583347360934293E-3</v>
      </c>
      <c r="M231" s="7">
        <f t="shared" ca="1" si="53"/>
        <v>-0.11284296913616108</v>
      </c>
      <c r="N231" s="7">
        <f t="shared" si="54"/>
        <v>-9.9365905805647525E-2</v>
      </c>
      <c r="O231" s="7">
        <v>0.2886375125546754</v>
      </c>
      <c r="P231" s="7">
        <f t="shared" si="55"/>
        <v>1.3989433100712212E-2</v>
      </c>
      <c r="Q231" s="7">
        <f t="shared" si="59"/>
        <v>-0.27464807945396319</v>
      </c>
      <c r="R231" s="7">
        <f t="shared" si="56"/>
        <v>-0.33341864275570288</v>
      </c>
      <c r="S231" s="7">
        <f t="shared" si="60"/>
        <v>-4.9764492424830262E-2</v>
      </c>
      <c r="T231" s="7">
        <f t="shared" si="61"/>
        <v>1</v>
      </c>
      <c r="U231" s="7">
        <f t="shared" si="57"/>
        <v>0.32132029973550846</v>
      </c>
      <c r="V231" s="7">
        <f t="shared" si="62"/>
        <v>3.104864782179141E-3</v>
      </c>
      <c r="W231" s="7">
        <f t="shared" si="63"/>
        <v>0</v>
      </c>
      <c r="X231" s="8" t="s">
        <v>3</v>
      </c>
      <c r="Y231" s="7">
        <v>-9.9365905805647525E-2</v>
      </c>
      <c r="Z231" s="7">
        <v>1.3989433100712212E-2</v>
      </c>
      <c r="AC231" s="7">
        <f t="shared" si="64"/>
        <v>0.34740807585641509</v>
      </c>
      <c r="AD231" s="7">
        <f t="shared" si="65"/>
        <v>0.30733086663479625</v>
      </c>
      <c r="AE231" s="6" t="s">
        <v>3</v>
      </c>
      <c r="AF231" s="6" t="s">
        <v>3</v>
      </c>
      <c r="AG231" s="6" t="s">
        <v>3</v>
      </c>
      <c r="AH231" s="6" t="s">
        <v>3</v>
      </c>
      <c r="AI231" s="6" t="s">
        <v>3</v>
      </c>
      <c r="AJ231" s="6" t="s">
        <v>3</v>
      </c>
      <c r="AK231" s="5">
        <f t="shared" si="66"/>
        <v>450.51844921089787</v>
      </c>
      <c r="AL231" s="7">
        <f t="shared" si="67"/>
        <v>-0.33341864275570288</v>
      </c>
      <c r="AM231" s="7">
        <f t="shared" si="68"/>
        <v>0.32132029973550846</v>
      </c>
    </row>
    <row r="232" spans="10:39" x14ac:dyDescent="0.25">
      <c r="J232" s="3">
        <v>226</v>
      </c>
      <c r="K232" s="7">
        <v>-9.9165445221565118E-2</v>
      </c>
      <c r="L232" s="7">
        <f t="shared" si="58"/>
        <v>1.5704204293320795E-3</v>
      </c>
      <c r="M232" s="7">
        <f t="shared" ca="1" si="53"/>
        <v>0.13904275197316482</v>
      </c>
      <c r="N232" s="7">
        <f t="shared" si="54"/>
        <v>-9.9165445221565118E-2</v>
      </c>
      <c r="O232" s="7">
        <v>0.10277823687862413</v>
      </c>
      <c r="P232" s="7">
        <f t="shared" si="55"/>
        <v>1.3927479749666904E-2</v>
      </c>
      <c r="Q232" s="7">
        <f t="shared" si="59"/>
        <v>-8.8850757128957222E-2</v>
      </c>
      <c r="R232" s="7">
        <f t="shared" si="56"/>
        <v>-0.33342833733327382</v>
      </c>
      <c r="S232" s="7">
        <f t="shared" si="60"/>
        <v>-3.489652593695184E-2</v>
      </c>
      <c r="T232" s="7">
        <f t="shared" si="61"/>
        <v>1</v>
      </c>
      <c r="U232" s="7">
        <f t="shared" si="57"/>
        <v>0.32142438764613601</v>
      </c>
      <c r="V232" s="7">
        <f t="shared" si="62"/>
        <v>2.0771384322913627E-2</v>
      </c>
      <c r="W232" s="7">
        <f t="shared" si="63"/>
        <v>0</v>
      </c>
      <c r="X232" s="8" t="s">
        <v>3</v>
      </c>
      <c r="Y232" s="7">
        <v>-9.9165445221565118E-2</v>
      </c>
      <c r="Z232" s="7">
        <v>1.3927479749666904E-2</v>
      </c>
      <c r="AC232" s="7">
        <f t="shared" si="64"/>
        <v>0.34735581708294072</v>
      </c>
      <c r="AD232" s="7">
        <f t="shared" si="65"/>
        <v>0.30749690789646911</v>
      </c>
      <c r="AE232" s="6" t="s">
        <v>3</v>
      </c>
      <c r="AF232" s="6" t="s">
        <v>3</v>
      </c>
      <c r="AG232" s="6" t="s">
        <v>3</v>
      </c>
      <c r="AH232" s="6" t="s">
        <v>3</v>
      </c>
      <c r="AI232" s="6" t="s">
        <v>3</v>
      </c>
      <c r="AJ232" s="6" t="s">
        <v>3</v>
      </c>
      <c r="AK232" s="5">
        <f t="shared" si="66"/>
        <v>450.61920602313188</v>
      </c>
      <c r="AL232" s="7">
        <f t="shared" si="67"/>
        <v>-0.33342833733327382</v>
      </c>
      <c r="AM232" s="7">
        <f t="shared" si="68"/>
        <v>0.32142438764613601</v>
      </c>
    </row>
    <row r="233" spans="10:39" x14ac:dyDescent="0.25">
      <c r="J233" s="3">
        <v>227</v>
      </c>
      <c r="K233" s="7">
        <v>-9.8666171970792638E-2</v>
      </c>
      <c r="L233" s="7">
        <f t="shared" si="58"/>
        <v>1.5385704812598757E-3</v>
      </c>
      <c r="M233" s="7">
        <f t="shared" ca="1" si="53"/>
        <v>-0.24965881200107304</v>
      </c>
      <c r="N233" s="7">
        <f t="shared" si="54"/>
        <v>-9.8666171970792638E-2</v>
      </c>
      <c r="O233" s="7">
        <v>2.6073752868943784E-2</v>
      </c>
      <c r="P233" s="7">
        <f t="shared" si="55"/>
        <v>1.3773723794537673E-2</v>
      </c>
      <c r="Q233" s="7">
        <f t="shared" si="59"/>
        <v>-1.230002907440611E-2</v>
      </c>
      <c r="R233" s="7">
        <f t="shared" si="56"/>
        <v>-0.33345196959835199</v>
      </c>
      <c r="S233" s="7">
        <f t="shared" si="60"/>
        <v>-2.876205779738366E-2</v>
      </c>
      <c r="T233" s="7">
        <f t="shared" si="61"/>
        <v>1</v>
      </c>
      <c r="U233" s="7">
        <f t="shared" si="57"/>
        <v>0.3216876704586511</v>
      </c>
      <c r="V233" s="7">
        <f t="shared" si="62"/>
        <v>2.8083322171022197E-2</v>
      </c>
      <c r="W233" s="7">
        <f t="shared" si="63"/>
        <v>0</v>
      </c>
      <c r="X233" s="8" t="s">
        <v>3</v>
      </c>
      <c r="Y233" s="7">
        <v>-9.8666171970792638E-2</v>
      </c>
      <c r="Z233" s="7">
        <v>1.3773723794537673E-2</v>
      </c>
      <c r="AC233" s="7">
        <f t="shared" si="64"/>
        <v>0.34722569339288967</v>
      </c>
      <c r="AD233" s="7">
        <f t="shared" si="65"/>
        <v>0.30791394666411342</v>
      </c>
      <c r="AE233" s="6" t="s">
        <v>3</v>
      </c>
      <c r="AF233" s="6" t="s">
        <v>3</v>
      </c>
      <c r="AG233" s="6" t="s">
        <v>3</v>
      </c>
      <c r="AH233" s="6" t="s">
        <v>3</v>
      </c>
      <c r="AI233" s="6" t="s">
        <v>3</v>
      </c>
      <c r="AJ233" s="6" t="s">
        <v>3</v>
      </c>
      <c r="AK233" s="5">
        <f t="shared" si="66"/>
        <v>450.87015401578498</v>
      </c>
      <c r="AL233" s="7">
        <f t="shared" si="67"/>
        <v>-0.33345196959835199</v>
      </c>
      <c r="AM233" s="7">
        <f t="shared" si="68"/>
        <v>0.3216876704586511</v>
      </c>
    </row>
    <row r="234" spans="10:39" x14ac:dyDescent="0.25">
      <c r="J234" s="3">
        <v>228</v>
      </c>
      <c r="K234" s="7">
        <v>-9.5415827575423995E-2</v>
      </c>
      <c r="L234" s="7">
        <f t="shared" si="58"/>
        <v>1.3429736909223232E-3</v>
      </c>
      <c r="M234" s="7">
        <f t="shared" ca="1" si="53"/>
        <v>5.190448780881133E-2</v>
      </c>
      <c r="N234" s="7">
        <f t="shared" si="54"/>
        <v>-9.5415827575423995E-2</v>
      </c>
      <c r="O234" s="7">
        <v>-0.12079005227844158</v>
      </c>
      <c r="P234" s="7">
        <f t="shared" si="55"/>
        <v>1.2791747670043208E-2</v>
      </c>
      <c r="Q234" s="7">
        <f t="shared" si="59"/>
        <v>0.13358179994848479</v>
      </c>
      <c r="R234" s="7">
        <f t="shared" si="56"/>
        <v>-0.33358809527783162</v>
      </c>
      <c r="S234" s="7">
        <f t="shared" si="60"/>
        <v>-1.7023843439951204E-2</v>
      </c>
      <c r="T234" s="7">
        <f t="shared" si="61"/>
        <v>1</v>
      </c>
      <c r="U234" s="7">
        <f t="shared" si="57"/>
        <v>0.32354221462558641</v>
      </c>
      <c r="V234" s="7">
        <f t="shared" si="62"/>
        <v>4.2211565355882663E-2</v>
      </c>
      <c r="W234" s="7">
        <f t="shared" si="63"/>
        <v>0</v>
      </c>
      <c r="X234" s="8" t="s">
        <v>3</v>
      </c>
      <c r="Y234" s="7">
        <v>-9.5415827575423995E-2</v>
      </c>
      <c r="Z234" s="7">
        <v>1.2791747670043208E-2</v>
      </c>
      <c r="AC234" s="7">
        <f t="shared" si="64"/>
        <v>0.34637984294787483</v>
      </c>
      <c r="AD234" s="7">
        <f t="shared" si="65"/>
        <v>0.3107504669555432</v>
      </c>
      <c r="AE234" s="6" t="s">
        <v>3</v>
      </c>
      <c r="AF234" s="6" t="s">
        <v>3</v>
      </c>
      <c r="AG234" s="6" t="s">
        <v>3</v>
      </c>
      <c r="AH234" s="6" t="s">
        <v>3</v>
      </c>
      <c r="AI234" s="6" t="s">
        <v>3</v>
      </c>
      <c r="AJ234" s="6" t="s">
        <v>3</v>
      </c>
      <c r="AK234" s="5">
        <f t="shared" si="66"/>
        <v>452.50386341276732</v>
      </c>
      <c r="AL234" s="7">
        <f t="shared" si="67"/>
        <v>-0.33358809527783162</v>
      </c>
      <c r="AM234" s="7">
        <f t="shared" si="68"/>
        <v>0.32354221462558641</v>
      </c>
    </row>
    <row r="235" spans="10:39" x14ac:dyDescent="0.25">
      <c r="J235" s="3">
        <v>229</v>
      </c>
      <c r="K235" s="7">
        <v>-9.5270402698784062E-2</v>
      </c>
      <c r="L235" s="7">
        <f t="shared" si="58"/>
        <v>1.3346855943580111E-3</v>
      </c>
      <c r="M235" s="7">
        <f t="shared" ca="1" si="53"/>
        <v>3.3781887268264817E-2</v>
      </c>
      <c r="N235" s="7">
        <f t="shared" si="54"/>
        <v>-9.5270402698784062E-2</v>
      </c>
      <c r="O235" s="7">
        <v>0.30266823775544616</v>
      </c>
      <c r="P235" s="7">
        <f t="shared" si="55"/>
        <v>1.2748579281202765E-2</v>
      </c>
      <c r="Q235" s="7">
        <f t="shared" si="59"/>
        <v>-0.28991965847424339</v>
      </c>
      <c r="R235" s="7">
        <f t="shared" si="56"/>
        <v>-0.33359347493103364</v>
      </c>
      <c r="S235" s="7">
        <f t="shared" si="60"/>
        <v>-5.0900937014918386E-2</v>
      </c>
      <c r="T235" s="7">
        <f t="shared" si="61"/>
        <v>1</v>
      </c>
      <c r="U235" s="7">
        <f t="shared" si="57"/>
        <v>0.32363086430467547</v>
      </c>
      <c r="V235" s="7">
        <f t="shared" si="62"/>
        <v>1.9914495221767846E-3</v>
      </c>
      <c r="W235" s="7">
        <f t="shared" si="63"/>
        <v>0</v>
      </c>
      <c r="X235" s="8" t="s">
        <v>3</v>
      </c>
      <c r="Y235" s="7">
        <v>-9.5270402698784062E-2</v>
      </c>
      <c r="Z235" s="7">
        <v>1.2748579281202765E-2</v>
      </c>
      <c r="AC235" s="7">
        <f t="shared" si="64"/>
        <v>0.34634205421223641</v>
      </c>
      <c r="AD235" s="7">
        <f t="shared" si="65"/>
        <v>0.3108822850234727</v>
      </c>
      <c r="AE235" s="6" t="s">
        <v>3</v>
      </c>
      <c r="AF235" s="6" t="s">
        <v>3</v>
      </c>
      <c r="AG235" s="6" t="s">
        <v>3</v>
      </c>
      <c r="AH235" s="6" t="s">
        <v>3</v>
      </c>
      <c r="AI235" s="6" t="s">
        <v>3</v>
      </c>
      <c r="AJ235" s="6" t="s">
        <v>3</v>
      </c>
      <c r="AK235" s="5">
        <f t="shared" si="66"/>
        <v>452.57695781712039</v>
      </c>
      <c r="AL235" s="7">
        <f t="shared" si="67"/>
        <v>-0.33359347493103364</v>
      </c>
      <c r="AM235" s="7">
        <f t="shared" si="68"/>
        <v>0.32363086430467547</v>
      </c>
    </row>
    <row r="236" spans="10:39" x14ac:dyDescent="0.25">
      <c r="J236" s="3">
        <v>230</v>
      </c>
      <c r="K236" s="7">
        <v>-9.3221904931196864E-2</v>
      </c>
      <c r="L236" s="7">
        <f t="shared" si="58"/>
        <v>1.2219898588985193E-3</v>
      </c>
      <c r="M236" s="7">
        <f t="shared" ca="1" si="53"/>
        <v>3.55332326723206E-3</v>
      </c>
      <c r="N236" s="7">
        <f t="shared" si="54"/>
        <v>-9.3221904931196864E-2</v>
      </c>
      <c r="O236" s="7">
        <v>7.4793053130864817E-2</v>
      </c>
      <c r="P236" s="7">
        <f t="shared" si="55"/>
        <v>1.2147433130202945E-2</v>
      </c>
      <c r="Q236" s="7">
        <f t="shared" si="59"/>
        <v>-6.2645620000661872E-2</v>
      </c>
      <c r="R236" s="7">
        <f t="shared" si="56"/>
        <v>-0.33366287908426795</v>
      </c>
      <c r="S236" s="7">
        <f t="shared" si="60"/>
        <v>-3.2676474577210624E-2</v>
      </c>
      <c r="T236" s="7">
        <f t="shared" si="61"/>
        <v>1</v>
      </c>
      <c r="U236" s="7">
        <f t="shared" si="57"/>
        <v>0.3249308970169893</v>
      </c>
      <c r="V236" s="7">
        <f t="shared" si="62"/>
        <v>2.3763095169181826E-2</v>
      </c>
      <c r="W236" s="7">
        <f t="shared" si="63"/>
        <v>0</v>
      </c>
      <c r="X236" s="8" t="s">
        <v>3</v>
      </c>
      <c r="Y236" s="7">
        <v>-9.3221904931196864E-2</v>
      </c>
      <c r="Z236" s="7">
        <v>1.2147433130202945E-2</v>
      </c>
      <c r="AC236" s="7">
        <f t="shared" si="64"/>
        <v>0.34581031221447089</v>
      </c>
      <c r="AD236" s="7">
        <f t="shared" si="65"/>
        <v>0.31278346388678635</v>
      </c>
      <c r="AE236" s="6" t="s">
        <v>3</v>
      </c>
      <c r="AF236" s="6" t="s">
        <v>3</v>
      </c>
      <c r="AG236" s="6" t="s">
        <v>3</v>
      </c>
      <c r="AH236" s="6" t="s">
        <v>3</v>
      </c>
      <c r="AI236" s="6" t="s">
        <v>3</v>
      </c>
      <c r="AJ236" s="6" t="s">
        <v>3</v>
      </c>
      <c r="AK236" s="5">
        <f t="shared" si="66"/>
        <v>453.60658718727979</v>
      </c>
      <c r="AL236" s="7">
        <f t="shared" si="67"/>
        <v>-0.33366287908426795</v>
      </c>
      <c r="AM236" s="7">
        <f t="shared" si="68"/>
        <v>0.3249308970169893</v>
      </c>
    </row>
    <row r="237" spans="10:39" x14ac:dyDescent="0.25">
      <c r="J237" s="3">
        <v>231</v>
      </c>
      <c r="K237" s="7">
        <v>-9.0322522491713908E-2</v>
      </c>
      <c r="L237" s="7">
        <f t="shared" si="58"/>
        <v>1.0749466603837304E-3</v>
      </c>
      <c r="M237" s="7">
        <f t="shared" ca="1" si="53"/>
        <v>0.22742934870335391</v>
      </c>
      <c r="N237" s="7">
        <f t="shared" si="54"/>
        <v>-9.0322522491713908E-2</v>
      </c>
      <c r="O237" s="7">
        <v>-0.14625603255360173</v>
      </c>
      <c r="P237" s="7">
        <f t="shared" si="55"/>
        <v>1.1318616011446014E-2</v>
      </c>
      <c r="Q237" s="7">
        <f t="shared" si="59"/>
        <v>0.15757464856504774</v>
      </c>
      <c r="R237" s="7">
        <f t="shared" si="56"/>
        <v>-0.33374104108700209</v>
      </c>
      <c r="S237" s="7">
        <f t="shared" si="60"/>
        <v>-1.499880068267203E-2</v>
      </c>
      <c r="T237" s="7">
        <f t="shared" si="61"/>
        <v>1</v>
      </c>
      <c r="U237" s="7">
        <f t="shared" si="57"/>
        <v>0.32693306854484483</v>
      </c>
      <c r="V237" s="7">
        <f t="shared" si="62"/>
        <v>4.4952964604352427E-2</v>
      </c>
      <c r="W237" s="7">
        <f t="shared" si="63"/>
        <v>0</v>
      </c>
      <c r="X237" s="8" t="s">
        <v>3</v>
      </c>
      <c r="Y237" s="7">
        <v>-9.0322522491713908E-2</v>
      </c>
      <c r="Z237" s="7">
        <v>1.1318616011446014E-2</v>
      </c>
      <c r="AC237" s="7">
        <f t="shared" si="64"/>
        <v>0.3450596570984481</v>
      </c>
      <c r="AD237" s="7">
        <f t="shared" si="65"/>
        <v>0.31561445253339881</v>
      </c>
      <c r="AE237" s="6" t="s">
        <v>3</v>
      </c>
      <c r="AF237" s="6" t="s">
        <v>3</v>
      </c>
      <c r="AG237" s="6" t="s">
        <v>3</v>
      </c>
      <c r="AH237" s="6" t="s">
        <v>3</v>
      </c>
      <c r="AI237" s="6" t="s">
        <v>3</v>
      </c>
      <c r="AJ237" s="6" t="s">
        <v>3</v>
      </c>
      <c r="AK237" s="5">
        <f t="shared" si="66"/>
        <v>455.06389378641381</v>
      </c>
      <c r="AL237" s="7">
        <f t="shared" si="67"/>
        <v>-0.33374104108700209</v>
      </c>
      <c r="AM237" s="7">
        <f t="shared" si="68"/>
        <v>0.32693306854484483</v>
      </c>
    </row>
    <row r="238" spans="10:39" x14ac:dyDescent="0.25">
      <c r="J238" s="3">
        <v>232</v>
      </c>
      <c r="K238" s="7">
        <v>-9.029723272079071E-2</v>
      </c>
      <c r="L238" s="7">
        <f t="shared" si="58"/>
        <v>1.0737259865873962E-3</v>
      </c>
      <c r="M238" s="7">
        <f t="shared" ca="1" si="53"/>
        <v>6.4163757174455743E-2</v>
      </c>
      <c r="N238" s="7">
        <f t="shared" si="54"/>
        <v>-9.029723272079071E-2</v>
      </c>
      <c r="O238" s="7">
        <v>0.17660194560732462</v>
      </c>
      <c r="P238" s="7">
        <f t="shared" si="55"/>
        <v>1.1311499686368354E-2</v>
      </c>
      <c r="Q238" s="7">
        <f t="shared" si="59"/>
        <v>-0.16529044592095626</v>
      </c>
      <c r="R238" s="7">
        <f t="shared" si="56"/>
        <v>-0.3337416207793229</v>
      </c>
      <c r="S238" s="7">
        <f t="shared" si="60"/>
        <v>-4.0827485310931805E-2</v>
      </c>
      <c r="T238" s="7">
        <f t="shared" si="61"/>
        <v>1</v>
      </c>
      <c r="U238" s="7">
        <f t="shared" si="57"/>
        <v>0.3269513588978441</v>
      </c>
      <c r="V238" s="7">
        <f t="shared" si="62"/>
        <v>1.4283194262599351E-2</v>
      </c>
      <c r="W238" s="7">
        <f t="shared" si="63"/>
        <v>0</v>
      </c>
      <c r="X238" s="8" t="s">
        <v>3</v>
      </c>
      <c r="Y238" s="7">
        <v>-9.029723272079071E-2</v>
      </c>
      <c r="Z238" s="7">
        <v>1.1311499686368354E-2</v>
      </c>
      <c r="AC238" s="7">
        <f t="shared" si="64"/>
        <v>0.34505312046569125</v>
      </c>
      <c r="AD238" s="7">
        <f t="shared" si="65"/>
        <v>0.31563985921147575</v>
      </c>
      <c r="AE238" s="6" t="s">
        <v>3</v>
      </c>
      <c r="AF238" s="6" t="s">
        <v>3</v>
      </c>
      <c r="AG238" s="6" t="s">
        <v>3</v>
      </c>
      <c r="AH238" s="6" t="s">
        <v>3</v>
      </c>
      <c r="AI238" s="6" t="s">
        <v>3</v>
      </c>
      <c r="AJ238" s="6" t="s">
        <v>3</v>
      </c>
      <c r="AK238" s="5">
        <f t="shared" si="66"/>
        <v>455.07660509677947</v>
      </c>
      <c r="AL238" s="7">
        <f t="shared" si="67"/>
        <v>-0.3337416207793229</v>
      </c>
      <c r="AM238" s="7">
        <f t="shared" si="68"/>
        <v>0.3269513588978441</v>
      </c>
    </row>
    <row r="239" spans="10:39" x14ac:dyDescent="0.25">
      <c r="J239" s="3">
        <v>233</v>
      </c>
      <c r="K239" s="7">
        <v>-8.9725010003494754E-2</v>
      </c>
      <c r="L239" s="7">
        <f t="shared" si="58"/>
        <v>1.0463848795626654E-3</v>
      </c>
      <c r="M239" s="7">
        <f t="shared" ca="1" si="53"/>
        <v>0.30397573118657051</v>
      </c>
      <c r="N239" s="7">
        <f t="shared" si="54"/>
        <v>-8.9725010003494754E-2</v>
      </c>
      <c r="O239" s="7">
        <v>0.25732895854024501</v>
      </c>
      <c r="P239" s="7">
        <f t="shared" si="55"/>
        <v>1.1151001719017728E-2</v>
      </c>
      <c r="Q239" s="7">
        <f t="shared" si="59"/>
        <v>-0.24617795682122728</v>
      </c>
      <c r="R239" s="7">
        <f t="shared" si="56"/>
        <v>-0.33375426999981084</v>
      </c>
      <c r="S239" s="7">
        <f t="shared" si="60"/>
        <v>-4.7286658283204462E-2</v>
      </c>
      <c r="T239" s="7">
        <f t="shared" si="61"/>
        <v>1</v>
      </c>
      <c r="U239" s="7">
        <f t="shared" si="57"/>
        <v>0.32736899191237034</v>
      </c>
      <c r="V239" s="7">
        <f t="shared" si="62"/>
        <v>6.6538031703519069E-3</v>
      </c>
      <c r="W239" s="7">
        <f t="shared" si="63"/>
        <v>0</v>
      </c>
      <c r="X239" s="8" t="s">
        <v>3</v>
      </c>
      <c r="Y239" s="7">
        <v>-8.9725010003494754E-2</v>
      </c>
      <c r="Z239" s="7">
        <v>1.1151001719017728E-2</v>
      </c>
      <c r="AC239" s="7">
        <f t="shared" si="64"/>
        <v>0.34490527171882857</v>
      </c>
      <c r="AD239" s="7">
        <f t="shared" si="65"/>
        <v>0.31621799019335262</v>
      </c>
      <c r="AE239" s="6" t="s">
        <v>3</v>
      </c>
      <c r="AF239" s="6" t="s">
        <v>3</v>
      </c>
      <c r="AG239" s="6" t="s">
        <v>3</v>
      </c>
      <c r="AH239" s="6" t="s">
        <v>3</v>
      </c>
      <c r="AI239" s="6" t="s">
        <v>3</v>
      </c>
      <c r="AJ239" s="6" t="s">
        <v>3</v>
      </c>
      <c r="AK239" s="5">
        <f t="shared" si="66"/>
        <v>455.36421942827781</v>
      </c>
      <c r="AL239" s="7">
        <f t="shared" si="67"/>
        <v>-0.33375426999981084</v>
      </c>
      <c r="AM239" s="7">
        <f t="shared" si="68"/>
        <v>0.32736899191237034</v>
      </c>
    </row>
    <row r="240" spans="10:39" x14ac:dyDescent="0.25">
      <c r="J240" s="3">
        <v>234</v>
      </c>
      <c r="K240" s="7">
        <v>-8.7888656371934104E-2</v>
      </c>
      <c r="L240" s="7">
        <f t="shared" si="58"/>
        <v>9.6218089296871111E-4</v>
      </c>
      <c r="M240" s="7">
        <f t="shared" ca="1" si="53"/>
        <v>-0.13133094017387953</v>
      </c>
      <c r="N240" s="7">
        <f t="shared" si="54"/>
        <v>-8.7888656371934104E-2</v>
      </c>
      <c r="O240" s="7">
        <v>0.37122831923195088</v>
      </c>
      <c r="P240" s="7">
        <f t="shared" si="55"/>
        <v>1.0642657304478664E-2</v>
      </c>
      <c r="Q240" s="7">
        <f t="shared" si="59"/>
        <v>-0.36058566192747221</v>
      </c>
      <c r="R240" s="7">
        <f t="shared" si="56"/>
        <v>-0.3337888598723131</v>
      </c>
      <c r="S240" s="7">
        <f t="shared" si="60"/>
        <v>-5.6401374328341122E-2</v>
      </c>
      <c r="T240" s="7">
        <f t="shared" si="61"/>
        <v>1</v>
      </c>
      <c r="U240" s="7">
        <f t="shared" si="57"/>
        <v>0.32875780310980263</v>
      </c>
      <c r="V240" s="7">
        <f t="shared" si="62"/>
        <v>-3.8435817090544167E-2</v>
      </c>
      <c r="W240" s="7">
        <f t="shared" si="63"/>
        <v>1</v>
      </c>
      <c r="X240" s="8" t="s">
        <v>3</v>
      </c>
      <c r="Y240" s="7">
        <v>-8.7888656371934104E-2</v>
      </c>
      <c r="Z240" s="7">
        <v>1.0642657304478664E-2</v>
      </c>
      <c r="AC240" s="7">
        <f t="shared" si="64"/>
        <v>0.34443151717679177</v>
      </c>
      <c r="AD240" s="7">
        <f t="shared" si="65"/>
        <v>0.31811514580532396</v>
      </c>
      <c r="AE240" s="6" t="s">
        <v>3</v>
      </c>
      <c r="AF240" s="6" t="s">
        <v>3</v>
      </c>
      <c r="AG240" s="6" t="s">
        <v>3</v>
      </c>
      <c r="AH240" s="6" t="s">
        <v>3</v>
      </c>
      <c r="AI240" s="6" t="s">
        <v>3</v>
      </c>
      <c r="AJ240" s="6" t="s">
        <v>3</v>
      </c>
      <c r="AK240" s="5">
        <f t="shared" si="66"/>
        <v>456.28721952277175</v>
      </c>
      <c r="AL240" s="7">
        <f t="shared" si="67"/>
        <v>-0.3337888598723131</v>
      </c>
      <c r="AM240" s="7">
        <f t="shared" si="68"/>
        <v>0.32875780310980263</v>
      </c>
    </row>
    <row r="241" spans="10:39" x14ac:dyDescent="0.25">
      <c r="J241" s="3">
        <v>235</v>
      </c>
      <c r="K241" s="7">
        <v>-8.2724858708177695E-2</v>
      </c>
      <c r="L241" s="7">
        <f t="shared" si="58"/>
        <v>7.5265822008917455E-4</v>
      </c>
      <c r="M241" s="7">
        <f t="shared" ca="1" si="53"/>
        <v>0.14248636506479226</v>
      </c>
      <c r="N241" s="7">
        <f t="shared" si="54"/>
        <v>-8.2724858708177695E-2</v>
      </c>
      <c r="O241" s="7">
        <v>1.9240723521552899E-3</v>
      </c>
      <c r="P241" s="7">
        <f t="shared" si="55"/>
        <v>9.267731635618226E-3</v>
      </c>
      <c r="Q241" s="7">
        <f t="shared" si="59"/>
        <v>7.3436592834629361E-3</v>
      </c>
      <c r="R241" s="7">
        <f t="shared" si="56"/>
        <v>-0.33383811194474955</v>
      </c>
      <c r="S241" s="7">
        <f t="shared" si="60"/>
        <v>-2.6860974743752389E-2</v>
      </c>
      <c r="T241" s="7">
        <f t="shared" si="61"/>
        <v>1</v>
      </c>
      <c r="U241" s="7">
        <f t="shared" si="57"/>
        <v>0.33304813159236346</v>
      </c>
      <c r="V241" s="7">
        <f t="shared" si="62"/>
        <v>3.1456785627819776E-2</v>
      </c>
      <c r="W241" s="7">
        <f t="shared" si="63"/>
        <v>0</v>
      </c>
      <c r="X241" s="8" t="s">
        <v>3</v>
      </c>
      <c r="Y241" s="7">
        <v>-8.2724858708177695E-2</v>
      </c>
      <c r="Z241" s="7">
        <v>9.267731635618226E-3</v>
      </c>
      <c r="AC241" s="7">
        <f t="shared" si="64"/>
        <v>0.34310584358036778</v>
      </c>
      <c r="AD241" s="7">
        <f t="shared" si="65"/>
        <v>0.32378039995674524</v>
      </c>
      <c r="AE241" s="6" t="s">
        <v>3</v>
      </c>
      <c r="AF241" s="6" t="s">
        <v>3</v>
      </c>
      <c r="AG241" s="6" t="s">
        <v>3</v>
      </c>
      <c r="AH241" s="6" t="s">
        <v>3</v>
      </c>
      <c r="AI241" s="6" t="s">
        <v>3</v>
      </c>
      <c r="AJ241" s="6" t="s">
        <v>3</v>
      </c>
      <c r="AK241" s="5">
        <f t="shared" si="66"/>
        <v>458.88268133888425</v>
      </c>
      <c r="AL241" s="7">
        <f t="shared" si="67"/>
        <v>-0.33383811194474955</v>
      </c>
      <c r="AM241" s="7">
        <f t="shared" si="68"/>
        <v>0.33304813159236346</v>
      </c>
    </row>
    <row r="242" spans="10:39" x14ac:dyDescent="0.25">
      <c r="J242" s="3">
        <v>236</v>
      </c>
      <c r="K242" s="7">
        <v>-8.0546062438083821E-2</v>
      </c>
      <c r="L242" s="7">
        <f t="shared" si="58"/>
        <v>6.7545395879124324E-4</v>
      </c>
      <c r="M242" s="7">
        <f t="shared" ca="1" si="53"/>
        <v>0.46818617128988865</v>
      </c>
      <c r="N242" s="7">
        <f t="shared" si="54"/>
        <v>-8.0546062438083821E-2</v>
      </c>
      <c r="O242" s="7">
        <v>5.6036136353517785E-2</v>
      </c>
      <c r="P242" s="7">
        <f t="shared" si="55"/>
        <v>8.7115394615038255E-3</v>
      </c>
      <c r="Q242" s="7">
        <f t="shared" si="59"/>
        <v>-4.7324596892013959E-2</v>
      </c>
      <c r="R242" s="7">
        <f t="shared" si="56"/>
        <v>-0.33383820818653476</v>
      </c>
      <c r="S242" s="7">
        <f t="shared" si="60"/>
        <v>-3.1189947563204205E-2</v>
      </c>
      <c r="T242" s="7">
        <f t="shared" si="61"/>
        <v>1</v>
      </c>
      <c r="U242" s="7">
        <f t="shared" si="57"/>
        <v>0.33502094503854929</v>
      </c>
      <c r="V242" s="7">
        <f t="shared" si="62"/>
        <v>2.6503556825077993E-2</v>
      </c>
      <c r="W242" s="7">
        <f t="shared" si="63"/>
        <v>0</v>
      </c>
      <c r="X242" s="8" t="s">
        <v>3</v>
      </c>
      <c r="Y242" s="7">
        <v>-8.0546062438083821E-2</v>
      </c>
      <c r="Z242" s="7">
        <v>8.7115394615038255E-3</v>
      </c>
      <c r="AC242" s="7">
        <f t="shared" si="64"/>
        <v>0.34254974764803858</v>
      </c>
      <c r="AD242" s="7">
        <f t="shared" si="65"/>
        <v>0.32630940557704546</v>
      </c>
      <c r="AE242" s="6" t="s">
        <v>3</v>
      </c>
      <c r="AF242" s="6" t="s">
        <v>3</v>
      </c>
      <c r="AG242" s="6" t="s">
        <v>3</v>
      </c>
      <c r="AH242" s="6" t="s">
        <v>3</v>
      </c>
      <c r="AI242" s="6" t="s">
        <v>3</v>
      </c>
      <c r="AJ242" s="6" t="s">
        <v>3</v>
      </c>
      <c r="AK242" s="5">
        <f t="shared" si="66"/>
        <v>459.97780219611849</v>
      </c>
      <c r="AL242" s="7">
        <f t="shared" si="67"/>
        <v>-0.33383820818653476</v>
      </c>
      <c r="AM242" s="7">
        <f t="shared" si="68"/>
        <v>0.33502094503854929</v>
      </c>
    </row>
    <row r="243" spans="10:39" x14ac:dyDescent="0.25">
      <c r="J243" s="3">
        <v>237</v>
      </c>
      <c r="K243" s="7">
        <v>-7.9333318239207751E-2</v>
      </c>
      <c r="L243" s="7">
        <f t="shared" si="58"/>
        <v>6.3516093706312649E-4</v>
      </c>
      <c r="M243" s="7">
        <f t="shared" ca="1" si="53"/>
        <v>0.16914799547690529</v>
      </c>
      <c r="N243" s="7">
        <f t="shared" si="54"/>
        <v>-7.9333318239207751E-2</v>
      </c>
      <c r="O243" s="7">
        <v>-0.19947453174839319</v>
      </c>
      <c r="P243" s="7">
        <f t="shared" si="55"/>
        <v>8.4080668938288916E-3</v>
      </c>
      <c r="Q243" s="7">
        <f t="shared" si="59"/>
        <v>0.20788259864222208</v>
      </c>
      <c r="R243" s="7">
        <f t="shared" si="56"/>
        <v>-0.33383307959549668</v>
      </c>
      <c r="S243" s="7">
        <f t="shared" si="60"/>
        <v>-1.0748683827768279E-2</v>
      </c>
      <c r="T243" s="7">
        <f t="shared" si="61"/>
        <v>1</v>
      </c>
      <c r="U243" s="7">
        <f t="shared" si="57"/>
        <v>0.33615856418873635</v>
      </c>
      <c r="V243" s="7">
        <f t="shared" si="62"/>
        <v>5.0885144114027316E-2</v>
      </c>
      <c r="W243" s="7">
        <f t="shared" si="63"/>
        <v>0</v>
      </c>
      <c r="X243" s="8" t="s">
        <v>3</v>
      </c>
      <c r="Y243" s="7">
        <v>-7.9333318239207751E-2</v>
      </c>
      <c r="Z243" s="7">
        <v>8.4080668938288916E-3</v>
      </c>
      <c r="AC243" s="7">
        <f t="shared" si="64"/>
        <v>0.34224114648932558</v>
      </c>
      <c r="AD243" s="7">
        <f t="shared" si="65"/>
        <v>0.32775049729490746</v>
      </c>
      <c r="AE243" s="6" t="s">
        <v>3</v>
      </c>
      <c r="AF243" s="6" t="s">
        <v>3</v>
      </c>
      <c r="AG243" s="6" t="s">
        <v>3</v>
      </c>
      <c r="AH243" s="6" t="s">
        <v>3</v>
      </c>
      <c r="AI243" s="6" t="s">
        <v>3</v>
      </c>
      <c r="AJ243" s="6" t="s">
        <v>3</v>
      </c>
      <c r="AK243" s="5">
        <f t="shared" si="66"/>
        <v>460.58735963152833</v>
      </c>
      <c r="AL243" s="7">
        <f t="shared" si="67"/>
        <v>-0.33383307959549668</v>
      </c>
      <c r="AM243" s="7">
        <f t="shared" si="68"/>
        <v>0.33615856418873635</v>
      </c>
    </row>
    <row r="244" spans="10:39" x14ac:dyDescent="0.25">
      <c r="J244" s="3">
        <v>238</v>
      </c>
      <c r="K244" s="7">
        <v>-7.6678320437527203E-2</v>
      </c>
      <c r="L244" s="7">
        <f t="shared" si="58"/>
        <v>5.5329990941250704E-4</v>
      </c>
      <c r="M244" s="7">
        <f t="shared" ca="1" si="53"/>
        <v>-9.4436917931496001E-2</v>
      </c>
      <c r="N244" s="7">
        <f t="shared" si="54"/>
        <v>-7.6678320437527203E-2</v>
      </c>
      <c r="O244" s="7">
        <v>4.6031075736576429E-2</v>
      </c>
      <c r="P244" s="7">
        <f t="shared" si="55"/>
        <v>7.7588729685516E-3</v>
      </c>
      <c r="Q244" s="7">
        <f t="shared" si="59"/>
        <v>-3.8272202768024829E-2</v>
      </c>
      <c r="R244" s="7">
        <f t="shared" si="56"/>
        <v>-0.33380915505152764</v>
      </c>
      <c r="S244" s="7">
        <f t="shared" si="60"/>
        <v>-3.0387218463048326E-2</v>
      </c>
      <c r="T244" s="7">
        <f t="shared" si="61"/>
        <v>1</v>
      </c>
      <c r="U244" s="7">
        <f t="shared" si="57"/>
        <v>0.33874300884156172</v>
      </c>
      <c r="V244" s="7">
        <f t="shared" si="62"/>
        <v>2.7807633644973601E-2</v>
      </c>
      <c r="W244" s="7">
        <f t="shared" si="63"/>
        <v>0</v>
      </c>
      <c r="X244" s="8" t="s">
        <v>3</v>
      </c>
      <c r="Y244" s="7">
        <v>-7.6678320437527203E-2</v>
      </c>
      <c r="Z244" s="7">
        <v>7.7588729685516E-3</v>
      </c>
      <c r="AC244" s="7">
        <f t="shared" si="64"/>
        <v>0.34156802802007924</v>
      </c>
      <c r="AD244" s="7">
        <f t="shared" si="65"/>
        <v>0.33098413587301012</v>
      </c>
      <c r="AE244" s="6" t="s">
        <v>3</v>
      </c>
      <c r="AF244" s="6" t="s">
        <v>3</v>
      </c>
      <c r="AG244" s="6" t="s">
        <v>3</v>
      </c>
      <c r="AH244" s="6" t="s">
        <v>3</v>
      </c>
      <c r="AI244" s="6" t="s">
        <v>3</v>
      </c>
      <c r="AJ244" s="6" t="s">
        <v>3</v>
      </c>
      <c r="AK244" s="5">
        <f t="shared" si="66"/>
        <v>461.92183202274742</v>
      </c>
      <c r="AL244" s="7">
        <f t="shared" si="67"/>
        <v>-0.33380915505152764</v>
      </c>
      <c r="AM244" s="7">
        <f t="shared" si="68"/>
        <v>0.33874300884156172</v>
      </c>
    </row>
    <row r="245" spans="10:39" x14ac:dyDescent="0.25">
      <c r="J245" s="3">
        <v>239</v>
      </c>
      <c r="K245" s="7">
        <v>-7.6277595032764323E-2</v>
      </c>
      <c r="L245" s="7">
        <f t="shared" si="58"/>
        <v>5.4167366138534059E-4</v>
      </c>
      <c r="M245" s="7">
        <f t="shared" ca="1" si="53"/>
        <v>-0.34087671648665541</v>
      </c>
      <c r="N245" s="7">
        <f t="shared" si="54"/>
        <v>-7.6277595032764323E-2</v>
      </c>
      <c r="O245" s="7">
        <v>0.38255065386895071</v>
      </c>
      <c r="P245" s="7">
        <f t="shared" si="55"/>
        <v>7.662693019965694E-3</v>
      </c>
      <c r="Q245" s="7">
        <f t="shared" si="59"/>
        <v>-0.37488796084898501</v>
      </c>
      <c r="R245" s="7">
        <f t="shared" si="56"/>
        <v>-0.33380405041505057</v>
      </c>
      <c r="S245" s="7">
        <f t="shared" si="60"/>
        <v>-5.7308376342720103E-2</v>
      </c>
      <c r="T245" s="7">
        <f t="shared" si="61"/>
        <v>1</v>
      </c>
      <c r="U245" s="7">
        <f t="shared" si="57"/>
        <v>0.33914384469259851</v>
      </c>
      <c r="V245" s="7">
        <f t="shared" si="62"/>
        <v>-3.9283162304598745E-2</v>
      </c>
      <c r="W245" s="7">
        <f t="shared" si="63"/>
        <v>1</v>
      </c>
      <c r="X245" s="8" t="s">
        <v>3</v>
      </c>
      <c r="Y245" s="7">
        <v>-7.6277595032764323E-2</v>
      </c>
      <c r="Z245" s="7">
        <v>7.662693019965694E-3</v>
      </c>
      <c r="AC245" s="7">
        <f t="shared" si="64"/>
        <v>0.34146674343501626</v>
      </c>
      <c r="AD245" s="7">
        <f t="shared" si="65"/>
        <v>0.33148115167263281</v>
      </c>
      <c r="AE245" s="6" t="s">
        <v>3</v>
      </c>
      <c r="AF245" s="6" t="s">
        <v>3</v>
      </c>
      <c r="AG245" s="6" t="s">
        <v>3</v>
      </c>
      <c r="AH245" s="6" t="s">
        <v>3</v>
      </c>
      <c r="AI245" s="6" t="s">
        <v>3</v>
      </c>
      <c r="AJ245" s="6" t="s">
        <v>3</v>
      </c>
      <c r="AK245" s="5">
        <f t="shared" si="66"/>
        <v>462.12324725133163</v>
      </c>
      <c r="AL245" s="7">
        <f t="shared" si="67"/>
        <v>-0.33380405041505057</v>
      </c>
      <c r="AM245" s="7">
        <f t="shared" si="68"/>
        <v>0.33914384469259851</v>
      </c>
    </row>
    <row r="246" spans="10:39" x14ac:dyDescent="0.25">
      <c r="J246" s="3">
        <v>240</v>
      </c>
      <c r="K246" s="7">
        <v>-7.5677740833442586E-2</v>
      </c>
      <c r="L246" s="7">
        <f t="shared" si="58"/>
        <v>5.2461596952213042E-4</v>
      </c>
      <c r="M246" s="7">
        <f t="shared" ca="1" si="53"/>
        <v>0.32002165723049925</v>
      </c>
      <c r="N246" s="7">
        <f t="shared" si="54"/>
        <v>-7.5677740833442586E-2</v>
      </c>
      <c r="O246" s="7">
        <v>7.0005479296450554E-2</v>
      </c>
      <c r="P246" s="7">
        <f t="shared" si="55"/>
        <v>7.5196013050131683E-3</v>
      </c>
      <c r="Q246" s="7">
        <f t="shared" si="59"/>
        <v>-6.2485877991437386E-2</v>
      </c>
      <c r="R246" s="7">
        <f t="shared" si="56"/>
        <v>-0.33379568563662598</v>
      </c>
      <c r="S246" s="7">
        <f t="shared" si="60"/>
        <v>-3.2304093194646125E-2</v>
      </c>
      <c r="T246" s="7">
        <f t="shared" si="61"/>
        <v>1</v>
      </c>
      <c r="U246" s="7">
        <f t="shared" si="57"/>
        <v>0.33974894136030853</v>
      </c>
      <c r="V246" s="7">
        <f t="shared" si="62"/>
        <v>2.5625628896066507E-2</v>
      </c>
      <c r="W246" s="7">
        <f t="shared" si="63"/>
        <v>0</v>
      </c>
      <c r="X246" s="8" t="s">
        <v>3</v>
      </c>
      <c r="Y246" s="7">
        <v>-7.5677740833442586E-2</v>
      </c>
      <c r="Z246" s="7">
        <v>7.5196013050131683E-3</v>
      </c>
      <c r="AC246" s="7">
        <f t="shared" si="64"/>
        <v>0.34131528694163915</v>
      </c>
      <c r="AD246" s="7">
        <f t="shared" si="65"/>
        <v>0.33222934005529536</v>
      </c>
      <c r="AE246" s="6" t="s">
        <v>3</v>
      </c>
      <c r="AF246" s="6" t="s">
        <v>3</v>
      </c>
      <c r="AG246" s="6" t="s">
        <v>3</v>
      </c>
      <c r="AH246" s="6" t="s">
        <v>3</v>
      </c>
      <c r="AI246" s="6" t="s">
        <v>3</v>
      </c>
      <c r="AJ246" s="6" t="s">
        <v>3</v>
      </c>
      <c r="AK246" s="5">
        <f t="shared" si="66"/>
        <v>462.42474989937335</v>
      </c>
      <c r="AL246" s="7">
        <f t="shared" si="67"/>
        <v>-0.33379568563662598</v>
      </c>
      <c r="AM246" s="7">
        <f t="shared" si="68"/>
        <v>0.33974894136030853</v>
      </c>
    </row>
    <row r="247" spans="10:39" x14ac:dyDescent="0.25">
      <c r="J247" s="3">
        <v>241</v>
      </c>
      <c r="K247" s="7">
        <v>-6.5789720917920569E-2</v>
      </c>
      <c r="L247" s="7">
        <f t="shared" si="58"/>
        <v>2.9752802948222463E-4</v>
      </c>
      <c r="M247" s="7">
        <f t="shared" ca="1" si="53"/>
        <v>-3.944963360626276E-2</v>
      </c>
      <c r="N247" s="7">
        <f t="shared" si="54"/>
        <v>-6.5789720917920569E-2</v>
      </c>
      <c r="O247" s="7">
        <v>7.2151390255926956E-2</v>
      </c>
      <c r="P247" s="7">
        <f t="shared" si="55"/>
        <v>5.3121070876485099E-3</v>
      </c>
      <c r="Q247" s="7">
        <f t="shared" si="59"/>
        <v>-6.6839283168278446E-2</v>
      </c>
      <c r="R247" s="7">
        <f t="shared" si="56"/>
        <v>-0.33353724559310827</v>
      </c>
      <c r="S247" s="7">
        <f t="shared" si="60"/>
        <v>-3.2455090867922823E-2</v>
      </c>
      <c r="T247" s="7">
        <f t="shared" si="61"/>
        <v>1</v>
      </c>
      <c r="U247" s="7">
        <f t="shared" si="57"/>
        <v>0.3504824630035599</v>
      </c>
      <c r="V247" s="7">
        <f t="shared" si="62"/>
        <v>2.6441451911025128E-2</v>
      </c>
      <c r="W247" s="7">
        <f t="shared" si="63"/>
        <v>0</v>
      </c>
      <c r="X247" s="8" t="s">
        <v>3</v>
      </c>
      <c r="Y247" s="7">
        <v>-6.5789720917920569E-2</v>
      </c>
      <c r="Z247" s="7">
        <v>5.3121070876485099E-3</v>
      </c>
      <c r="AC247" s="7">
        <f t="shared" si="64"/>
        <v>0.33884935268075678</v>
      </c>
      <c r="AD247" s="7">
        <f t="shared" si="65"/>
        <v>0.34517035591591139</v>
      </c>
      <c r="AE247" s="6" t="s">
        <v>3</v>
      </c>
      <c r="AF247" s="6" t="s">
        <v>3</v>
      </c>
      <c r="AG247" s="6" t="s">
        <v>3</v>
      </c>
      <c r="AH247" s="6" t="s">
        <v>3</v>
      </c>
      <c r="AI247" s="6" t="s">
        <v>3</v>
      </c>
      <c r="AJ247" s="6" t="s">
        <v>3</v>
      </c>
      <c r="AK247" s="5">
        <f t="shared" si="66"/>
        <v>467.39473125782729</v>
      </c>
      <c r="AL247" s="7">
        <f t="shared" si="67"/>
        <v>-0.33353724559310827</v>
      </c>
      <c r="AM247" s="7">
        <f t="shared" si="68"/>
        <v>0.3504824630035599</v>
      </c>
    </row>
    <row r="248" spans="10:39" x14ac:dyDescent="0.25">
      <c r="J248" s="3">
        <v>242</v>
      </c>
      <c r="K248" s="7">
        <v>-4.403041632927418E-2</v>
      </c>
      <c r="L248" s="7">
        <f t="shared" si="58"/>
        <v>5.8686612960328531E-5</v>
      </c>
      <c r="M248" s="7">
        <f t="shared" ca="1" si="53"/>
        <v>-3.8057916224887106E-2</v>
      </c>
      <c r="N248" s="7">
        <f t="shared" si="54"/>
        <v>-4.403041632927418E-2</v>
      </c>
      <c r="O248" s="7">
        <v>0.29624316199491652</v>
      </c>
      <c r="P248" s="7">
        <f t="shared" si="55"/>
        <v>1.439036833351004E-3</v>
      </c>
      <c r="Q248" s="7">
        <f t="shared" si="59"/>
        <v>-0.29480412516156551</v>
      </c>
      <c r="R248" s="7">
        <f t="shared" si="56"/>
        <v>-0.3322584831467168</v>
      </c>
      <c r="S248" s="7">
        <f t="shared" si="60"/>
        <v>-5.0280131611330665E-2</v>
      </c>
      <c r="T248" s="7">
        <f t="shared" si="61"/>
        <v>1</v>
      </c>
      <c r="U248" s="7">
        <f t="shared" si="57"/>
        <v>0.37615308847576312</v>
      </c>
      <c r="V248" s="7">
        <f t="shared" si="62"/>
        <v>7.5914430156804272E-3</v>
      </c>
      <c r="W248" s="7">
        <f t="shared" si="63"/>
        <v>0</v>
      </c>
      <c r="X248" s="8" t="s">
        <v>3</v>
      </c>
      <c r="Y248" s="7">
        <v>-4.403041632927418E-2</v>
      </c>
      <c r="Z248" s="7">
        <v>1.439036833351004E-3</v>
      </c>
      <c r="AC248" s="7">
        <f t="shared" si="64"/>
        <v>0.3336975199800678</v>
      </c>
      <c r="AD248" s="7">
        <f t="shared" si="65"/>
        <v>0.37471405164241212</v>
      </c>
      <c r="AE248" s="6" t="s">
        <v>3</v>
      </c>
      <c r="AF248" s="6" t="s">
        <v>3</v>
      </c>
      <c r="AG248" s="6" t="s">
        <v>3</v>
      </c>
      <c r="AH248" s="6" t="s">
        <v>3</v>
      </c>
      <c r="AI248" s="6" t="s">
        <v>3</v>
      </c>
      <c r="AJ248" s="6" t="s">
        <v>3</v>
      </c>
      <c r="AK248" s="5">
        <f t="shared" si="66"/>
        <v>478.33153550199467</v>
      </c>
      <c r="AL248" s="7">
        <f t="shared" si="67"/>
        <v>-0.3322584831467168</v>
      </c>
      <c r="AM248" s="7">
        <f t="shared" si="68"/>
        <v>0.37615308847576312</v>
      </c>
    </row>
    <row r="249" spans="10:39" x14ac:dyDescent="0.25">
      <c r="J249" s="3">
        <v>243</v>
      </c>
      <c r="K249" s="7">
        <v>-4.0769792723178933E-2</v>
      </c>
      <c r="L249" s="7">
        <f t="shared" si="58"/>
        <v>4.3023567589706326E-5</v>
      </c>
      <c r="M249" s="7">
        <f t="shared" ca="1" si="53"/>
        <v>0.16856619539156489</v>
      </c>
      <c r="N249" s="7">
        <f t="shared" si="54"/>
        <v>-4.0769792723178933E-2</v>
      </c>
      <c r="O249" s="7">
        <v>0.11133773413906708</v>
      </c>
      <c r="P249" s="7">
        <f t="shared" si="55"/>
        <v>9.731564900503642E-4</v>
      </c>
      <c r="Q249" s="7">
        <f t="shared" si="59"/>
        <v>-0.11036457764901672</v>
      </c>
      <c r="R249" s="7">
        <f t="shared" si="56"/>
        <v>-0.33199480439187834</v>
      </c>
      <c r="S249" s="7">
        <f t="shared" si="60"/>
        <v>-3.5466603082475637E-2</v>
      </c>
      <c r="T249" s="7">
        <f t="shared" si="61"/>
        <v>1</v>
      </c>
      <c r="U249" s="7">
        <f t="shared" si="57"/>
        <v>0.37980139496140319</v>
      </c>
      <c r="V249" s="7">
        <f t="shared" si="62"/>
        <v>2.5504047778121926E-2</v>
      </c>
      <c r="W249" s="7">
        <f t="shared" si="63"/>
        <v>0</v>
      </c>
      <c r="X249" s="8" t="s">
        <v>3</v>
      </c>
      <c r="Y249" s="7">
        <v>-4.0769792723178933E-2</v>
      </c>
      <c r="Z249" s="7">
        <v>9.731564900503642E-4</v>
      </c>
      <c r="AC249" s="7">
        <f t="shared" si="64"/>
        <v>0.3329679608819287</v>
      </c>
      <c r="AD249" s="7">
        <f t="shared" si="65"/>
        <v>0.37882823847135283</v>
      </c>
      <c r="AE249" s="6" t="s">
        <v>3</v>
      </c>
      <c r="AF249" s="6" t="s">
        <v>3</v>
      </c>
      <c r="AG249" s="6" t="s">
        <v>3</v>
      </c>
      <c r="AH249" s="6" t="s">
        <v>3</v>
      </c>
      <c r="AI249" s="6" t="s">
        <v>3</v>
      </c>
      <c r="AJ249" s="6" t="s">
        <v>3</v>
      </c>
      <c r="AK249" s="5">
        <f t="shared" si="66"/>
        <v>479.97041150322417</v>
      </c>
      <c r="AL249" s="7">
        <f t="shared" si="67"/>
        <v>-0.33199480439187834</v>
      </c>
      <c r="AM249" s="7">
        <f t="shared" si="68"/>
        <v>0.37980139496140319</v>
      </c>
    </row>
    <row r="250" spans="10:39" x14ac:dyDescent="0.25">
      <c r="J250" s="3">
        <v>244</v>
      </c>
      <c r="K250" s="7">
        <v>-3.5641576196199454E-2</v>
      </c>
      <c r="L250" s="7">
        <f t="shared" si="58"/>
        <v>2.5020369391281192E-5</v>
      </c>
      <c r="M250" s="7">
        <f t="shared" ca="1" si="53"/>
        <v>7.9888387984682271E-2</v>
      </c>
      <c r="N250" s="7">
        <f t="shared" si="54"/>
        <v>-3.5641576196199454E-2</v>
      </c>
      <c r="O250" s="7">
        <v>-7.6219963568043836E-3</v>
      </c>
      <c r="P250" s="7">
        <f t="shared" si="55"/>
        <v>2.9992707692150233E-4</v>
      </c>
      <c r="Q250" s="7">
        <f t="shared" si="59"/>
        <v>7.9219234337258859E-3</v>
      </c>
      <c r="R250" s="7">
        <f t="shared" si="56"/>
        <v>-0.3315478606986435</v>
      </c>
      <c r="S250" s="7">
        <f t="shared" si="60"/>
        <v>-2.5914069147347129E-2</v>
      </c>
      <c r="T250" s="7">
        <f t="shared" si="61"/>
        <v>1</v>
      </c>
      <c r="U250" s="7">
        <f t="shared" si="57"/>
        <v>0.38523119346533186</v>
      </c>
      <c r="V250" s="7">
        <f t="shared" si="62"/>
        <v>3.7321053033102944E-2</v>
      </c>
      <c r="W250" s="7">
        <f t="shared" si="63"/>
        <v>0</v>
      </c>
      <c r="X250" s="8" t="s">
        <v>3</v>
      </c>
      <c r="Y250" s="7">
        <v>-3.5641576196199454E-2</v>
      </c>
      <c r="Z250" s="7">
        <v>2.9992707692150233E-4</v>
      </c>
      <c r="AC250" s="7">
        <f t="shared" si="64"/>
        <v>0.33184778777556501</v>
      </c>
      <c r="AD250" s="7">
        <f t="shared" si="65"/>
        <v>0.38493126638841035</v>
      </c>
      <c r="AE250" s="6" t="s">
        <v>3</v>
      </c>
      <c r="AF250" s="6" t="s">
        <v>3</v>
      </c>
      <c r="AG250" s="6" t="s">
        <v>3</v>
      </c>
      <c r="AH250" s="6" t="s">
        <v>3</v>
      </c>
      <c r="AI250" s="6" t="s">
        <v>3</v>
      </c>
      <c r="AJ250" s="6" t="s">
        <v>3</v>
      </c>
      <c r="AK250" s="5">
        <f t="shared" si="66"/>
        <v>482.54798929523423</v>
      </c>
      <c r="AL250" s="7">
        <f t="shared" si="67"/>
        <v>-0.3315478606986435</v>
      </c>
      <c r="AM250" s="7">
        <f t="shared" si="68"/>
        <v>0.38523119346533186</v>
      </c>
    </row>
    <row r="251" spans="10:39" x14ac:dyDescent="0.25">
      <c r="J251" s="3">
        <v>245</v>
      </c>
      <c r="K251" s="7">
        <v>-3.3580272771466024E-2</v>
      </c>
      <c r="L251" s="7">
        <f t="shared" si="58"/>
        <v>1.968030663508044E-5</v>
      </c>
      <c r="M251" s="7">
        <f t="shared" ca="1" si="53"/>
        <v>-2.3043190742907088E-2</v>
      </c>
      <c r="N251" s="7">
        <f t="shared" si="54"/>
        <v>-3.3580272771466024E-2</v>
      </c>
      <c r="O251" s="7">
        <v>0.10905172921140241</v>
      </c>
      <c r="P251" s="7">
        <f t="shared" si="55"/>
        <v>4.9709739343928305E-5</v>
      </c>
      <c r="Q251" s="7">
        <f t="shared" si="59"/>
        <v>-0.10900201947205848</v>
      </c>
      <c r="R251" s="7">
        <f t="shared" si="56"/>
        <v>-0.33135781974389555</v>
      </c>
      <c r="S251" s="7">
        <f t="shared" si="60"/>
        <v>-3.5232763916423833E-2</v>
      </c>
      <c r="T251" s="7">
        <f t="shared" si="61"/>
        <v>1</v>
      </c>
      <c r="U251" s="7">
        <f t="shared" si="57"/>
        <v>0.38728603631407665</v>
      </c>
      <c r="V251" s="7">
        <f t="shared" si="62"/>
        <v>2.6432259174754055E-2</v>
      </c>
      <c r="W251" s="7">
        <f t="shared" si="63"/>
        <v>0</v>
      </c>
      <c r="X251" s="8" t="s">
        <v>3</v>
      </c>
      <c r="Y251" s="7">
        <v>-3.3580272771466024E-2</v>
      </c>
      <c r="Z251" s="7">
        <v>4.9709739343928305E-5</v>
      </c>
      <c r="AC251" s="7">
        <f t="shared" si="64"/>
        <v>0.33140752948323948</v>
      </c>
      <c r="AD251" s="7">
        <f t="shared" si="65"/>
        <v>0.38723632657473273</v>
      </c>
      <c r="AE251" s="6" t="s">
        <v>3</v>
      </c>
      <c r="AF251" s="6" t="s">
        <v>3</v>
      </c>
      <c r="AG251" s="6" t="s">
        <v>3</v>
      </c>
      <c r="AH251" s="6" t="s">
        <v>3</v>
      </c>
      <c r="AI251" s="6" t="s">
        <v>3</v>
      </c>
      <c r="AJ251" s="6" t="s">
        <v>3</v>
      </c>
      <c r="AK251" s="5">
        <f t="shared" si="66"/>
        <v>483.58405512869405</v>
      </c>
      <c r="AL251" s="7">
        <f t="shared" si="67"/>
        <v>-0.33135781974389555</v>
      </c>
      <c r="AM251" s="7">
        <f t="shared" si="68"/>
        <v>0.38728603631407665</v>
      </c>
    </row>
    <row r="252" spans="10:39" x14ac:dyDescent="0.25">
      <c r="J252" s="3">
        <v>246</v>
      </c>
      <c r="K252" s="7">
        <v>-3.184943656219863E-2</v>
      </c>
      <c r="L252" s="7">
        <f t="shared" si="58"/>
        <v>1.5901891156796949E-5</v>
      </c>
      <c r="M252" s="7">
        <f t="shared" ca="1" si="53"/>
        <v>0.52494322205781518</v>
      </c>
      <c r="N252" s="7">
        <f t="shared" si="54"/>
        <v>-3.184943656219863E-2</v>
      </c>
      <c r="O252" s="7">
        <v>9.7959495181666412E-2</v>
      </c>
      <c r="P252" s="7">
        <f t="shared" si="55"/>
        <v>-1.5140363444032801E-4</v>
      </c>
      <c r="Q252" s="7">
        <f t="shared" si="59"/>
        <v>-9.811089881610674E-2</v>
      </c>
      <c r="R252" s="7">
        <f t="shared" si="56"/>
        <v>-0.33119391822260624</v>
      </c>
      <c r="S252" s="7">
        <f t="shared" si="60"/>
        <v>-3.4332273072341817E-2</v>
      </c>
      <c r="T252" s="7">
        <f t="shared" si="61"/>
        <v>1</v>
      </c>
      <c r="U252" s="7">
        <f t="shared" si="57"/>
        <v>0.3889474787411249</v>
      </c>
      <c r="V252" s="7">
        <f t="shared" si="62"/>
        <v>2.7643858438148556E-2</v>
      </c>
      <c r="W252" s="7">
        <f t="shared" si="63"/>
        <v>0</v>
      </c>
      <c r="X252" s="8" t="s">
        <v>3</v>
      </c>
      <c r="Y252" s="7">
        <v>-3.184943656219863E-2</v>
      </c>
      <c r="Z252" s="7">
        <v>-1.5140363444032801E-4</v>
      </c>
      <c r="AC252" s="7">
        <f t="shared" si="64"/>
        <v>0.33104251458816591</v>
      </c>
      <c r="AD252" s="7">
        <f t="shared" si="65"/>
        <v>0.38909888237556522</v>
      </c>
      <c r="AE252" s="6" t="s">
        <v>3</v>
      </c>
      <c r="AF252" s="6" t="s">
        <v>3</v>
      </c>
      <c r="AG252" s="6" t="s">
        <v>3</v>
      </c>
      <c r="AH252" s="6" t="s">
        <v>3</v>
      </c>
      <c r="AI252" s="6" t="s">
        <v>3</v>
      </c>
      <c r="AJ252" s="6" t="s">
        <v>3</v>
      </c>
      <c r="AK252" s="5">
        <f t="shared" si="66"/>
        <v>484.45401936502134</v>
      </c>
      <c r="AL252" s="7">
        <f t="shared" si="67"/>
        <v>-0.33119391822260624</v>
      </c>
      <c r="AM252" s="7">
        <f t="shared" si="68"/>
        <v>0.3889474787411249</v>
      </c>
    </row>
    <row r="253" spans="10:39" x14ac:dyDescent="0.25">
      <c r="J253" s="3">
        <v>247</v>
      </c>
      <c r="K253" s="7">
        <v>-2.9297319167828739E-2</v>
      </c>
      <c r="L253" s="7">
        <f t="shared" si="58"/>
        <v>1.1360059179716935E-5</v>
      </c>
      <c r="M253" s="7">
        <f t="shared" ca="1" si="53"/>
        <v>0.13533847843762414</v>
      </c>
      <c r="N253" s="7">
        <f t="shared" si="54"/>
        <v>-2.9297319167828739E-2</v>
      </c>
      <c r="O253" s="7">
        <v>0.15147454781427219</v>
      </c>
      <c r="P253" s="7">
        <f t="shared" si="55"/>
        <v>-4.3302571160319658E-4</v>
      </c>
      <c r="Q253" s="7">
        <f t="shared" si="59"/>
        <v>-0.15190757352587539</v>
      </c>
      <c r="R253" s="7">
        <f t="shared" si="56"/>
        <v>-0.33094536672871211</v>
      </c>
      <c r="S253" s="7">
        <f t="shared" si="60"/>
        <v>-3.8593593163438744E-2</v>
      </c>
      <c r="T253" s="7">
        <f t="shared" si="61"/>
        <v>1</v>
      </c>
      <c r="U253" s="7">
        <f t="shared" si="57"/>
        <v>0.39128288008805612</v>
      </c>
      <c r="V253" s="7">
        <f t="shared" si="62"/>
        <v>2.2781791566009475E-2</v>
      </c>
      <c r="W253" s="7">
        <f t="shared" si="63"/>
        <v>0</v>
      </c>
      <c r="X253" s="8" t="s">
        <v>3</v>
      </c>
      <c r="Y253" s="7">
        <v>-2.9297319167828739E-2</v>
      </c>
      <c r="Z253" s="7">
        <v>-4.3302571160319658E-4</v>
      </c>
      <c r="AC253" s="7">
        <f t="shared" si="64"/>
        <v>0.33051234101710891</v>
      </c>
      <c r="AD253" s="7">
        <f t="shared" si="65"/>
        <v>0.39171590579965931</v>
      </c>
      <c r="AE253" s="6" t="s">
        <v>3</v>
      </c>
      <c r="AF253" s="6" t="s">
        <v>3</v>
      </c>
      <c r="AG253" s="6" t="s">
        <v>3</v>
      </c>
      <c r="AH253" s="6" t="s">
        <v>3</v>
      </c>
      <c r="AI253" s="6" t="s">
        <v>3</v>
      </c>
      <c r="AJ253" s="6" t="s">
        <v>3</v>
      </c>
      <c r="AK253" s="5">
        <f t="shared" si="66"/>
        <v>485.7367813318225</v>
      </c>
      <c r="AL253" s="7">
        <f t="shared" si="67"/>
        <v>-0.33094536672871211</v>
      </c>
      <c r="AM253" s="7">
        <f t="shared" si="68"/>
        <v>0.39128288008805612</v>
      </c>
    </row>
    <row r="254" spans="10:39" x14ac:dyDescent="0.25">
      <c r="J254" s="3">
        <v>248</v>
      </c>
      <c r="K254" s="7">
        <v>-2.6980783362191119E-2</v>
      </c>
      <c r="L254" s="7">
        <f t="shared" si="58"/>
        <v>8.1544477296301366E-6</v>
      </c>
      <c r="M254" s="7">
        <f t="shared" ca="1" si="53"/>
        <v>-5.5828342420598739E-2</v>
      </c>
      <c r="N254" s="7">
        <f t="shared" si="54"/>
        <v>-2.6980783362191119E-2</v>
      </c>
      <c r="O254" s="7">
        <v>-0.19385841387051322</v>
      </c>
      <c r="P254" s="7">
        <f t="shared" si="55"/>
        <v>-6.7331390895164489E-4</v>
      </c>
      <c r="Q254" s="7">
        <f t="shared" si="59"/>
        <v>0.19318509996156158</v>
      </c>
      <c r="R254" s="7">
        <f t="shared" si="56"/>
        <v>-0.33071301674502074</v>
      </c>
      <c r="S254" s="7">
        <f t="shared" si="60"/>
        <v>-1.0948368229960601E-2</v>
      </c>
      <c r="T254" s="7">
        <f t="shared" si="61"/>
        <v>1</v>
      </c>
      <c r="U254" s="7">
        <f t="shared" si="57"/>
        <v>0.39327704933168972</v>
      </c>
      <c r="V254" s="7">
        <f t="shared" si="62"/>
        <v>5.5777869004209286E-2</v>
      </c>
      <c r="W254" s="7">
        <f t="shared" si="63"/>
        <v>0</v>
      </c>
      <c r="X254" s="8" t="s">
        <v>3</v>
      </c>
      <c r="Y254" s="7">
        <v>-2.6980783362191119E-2</v>
      </c>
      <c r="Z254" s="7">
        <v>-6.7331390895164489E-4</v>
      </c>
      <c r="AC254" s="7">
        <f t="shared" si="64"/>
        <v>0.33003970283606909</v>
      </c>
      <c r="AD254" s="7">
        <f t="shared" si="65"/>
        <v>0.39395036324064137</v>
      </c>
      <c r="AE254" s="6" t="s">
        <v>3</v>
      </c>
      <c r="AF254" s="6" t="s">
        <v>3</v>
      </c>
      <c r="AG254" s="6" t="s">
        <v>3</v>
      </c>
      <c r="AH254" s="6" t="s">
        <v>3</v>
      </c>
      <c r="AI254" s="6" t="s">
        <v>3</v>
      </c>
      <c r="AJ254" s="6" t="s">
        <v>3</v>
      </c>
      <c r="AK254" s="5">
        <f t="shared" si="66"/>
        <v>486.9011337369119</v>
      </c>
      <c r="AL254" s="7">
        <f t="shared" si="67"/>
        <v>-0.33071301674502074</v>
      </c>
      <c r="AM254" s="7">
        <f t="shared" si="68"/>
        <v>0.39327704933168972</v>
      </c>
    </row>
    <row r="255" spans="10:39" x14ac:dyDescent="0.25">
      <c r="J255" s="3">
        <v>249</v>
      </c>
      <c r="K255" s="7">
        <v>-2.5717025410268546E-2</v>
      </c>
      <c r="L255" s="7">
        <f t="shared" si="58"/>
        <v>6.7230805167503239E-6</v>
      </c>
      <c r="M255" s="7">
        <f t="shared" ca="1" si="53"/>
        <v>-0.25648620287173268</v>
      </c>
      <c r="N255" s="7">
        <f t="shared" si="54"/>
        <v>-2.5717025410268546E-2</v>
      </c>
      <c r="O255" s="7">
        <v>-1.8504344318543905E-2</v>
      </c>
      <c r="P255" s="7">
        <f t="shared" si="55"/>
        <v>-7.9826890950185359E-4</v>
      </c>
      <c r="Q255" s="7">
        <f t="shared" si="59"/>
        <v>1.7706075409042052E-2</v>
      </c>
      <c r="R255" s="7">
        <f t="shared" si="56"/>
        <v>-0.33058368999468346</v>
      </c>
      <c r="S255" s="7">
        <f t="shared" si="60"/>
        <v>-2.4966347654091163E-2</v>
      </c>
      <c r="T255" s="7">
        <f t="shared" si="61"/>
        <v>1</v>
      </c>
      <c r="U255" s="7">
        <f t="shared" si="57"/>
        <v>0.39431198516619004</v>
      </c>
      <c r="V255" s="7">
        <f t="shared" si="62"/>
        <v>3.9217551301049723E-2</v>
      </c>
      <c r="W255" s="7">
        <f t="shared" si="63"/>
        <v>0</v>
      </c>
      <c r="X255" s="8" t="s">
        <v>3</v>
      </c>
      <c r="Y255" s="7">
        <v>-2.5717025410268546E-2</v>
      </c>
      <c r="Z255" s="7">
        <v>-7.9826890950185359E-4</v>
      </c>
      <c r="AC255" s="7">
        <f t="shared" si="64"/>
        <v>0.32978542108518161</v>
      </c>
      <c r="AD255" s="7">
        <f t="shared" si="65"/>
        <v>0.39511025407569189</v>
      </c>
      <c r="AE255" s="6" t="s">
        <v>3</v>
      </c>
      <c r="AF255" s="6" t="s">
        <v>3</v>
      </c>
      <c r="AG255" s="6" t="s">
        <v>3</v>
      </c>
      <c r="AH255" s="6" t="s">
        <v>3</v>
      </c>
      <c r="AI255" s="6" t="s">
        <v>3</v>
      </c>
      <c r="AJ255" s="6" t="s">
        <v>3</v>
      </c>
      <c r="AK255" s="5">
        <f t="shared" si="66"/>
        <v>487.53633203913148</v>
      </c>
      <c r="AL255" s="7">
        <f t="shared" si="67"/>
        <v>-0.33058368999468346</v>
      </c>
      <c r="AM255" s="7">
        <f t="shared" si="68"/>
        <v>0.39431198516619004</v>
      </c>
    </row>
    <row r="256" spans="10:39" x14ac:dyDescent="0.25">
      <c r="J256" s="3">
        <v>250</v>
      </c>
      <c r="K256" s="7">
        <v>-1.8236700379650417E-2</v>
      </c>
      <c r="L256" s="7">
        <f t="shared" si="58"/>
        <v>1.6885249726499785E-6</v>
      </c>
      <c r="M256" s="7">
        <f t="shared" ca="1" si="53"/>
        <v>-0.39985483541711386</v>
      </c>
      <c r="N256" s="7">
        <f t="shared" si="54"/>
        <v>-1.8236700379650417E-2</v>
      </c>
      <c r="O256" s="7">
        <v>-0.17592533377701242</v>
      </c>
      <c r="P256" s="7">
        <f t="shared" si="55"/>
        <v>-1.4498721796463165E-3</v>
      </c>
      <c r="Q256" s="7">
        <f t="shared" si="59"/>
        <v>0.1744754615973661</v>
      </c>
      <c r="R256" s="7">
        <f t="shared" si="56"/>
        <v>-0.32978454773843868</v>
      </c>
      <c r="S256" s="7">
        <f t="shared" si="60"/>
        <v>-1.2308737116914102E-2</v>
      </c>
      <c r="T256" s="7">
        <f t="shared" si="61"/>
        <v>1</v>
      </c>
      <c r="U256" s="7">
        <f t="shared" si="57"/>
        <v>0.39961959914037104</v>
      </c>
      <c r="V256" s="7">
        <f t="shared" si="62"/>
        <v>5.4676768627151422E-2</v>
      </c>
      <c r="W256" s="7">
        <f t="shared" si="63"/>
        <v>0</v>
      </c>
      <c r="X256" s="8" t="s">
        <v>3</v>
      </c>
      <c r="Y256" s="7">
        <v>-1.8236700379650417E-2</v>
      </c>
      <c r="Z256" s="7">
        <v>-1.4498721796463165E-3</v>
      </c>
      <c r="AC256" s="7">
        <f t="shared" si="64"/>
        <v>0.32833467555879237</v>
      </c>
      <c r="AD256" s="7">
        <f t="shared" si="65"/>
        <v>0.40106947132001736</v>
      </c>
      <c r="AE256" s="6" t="s">
        <v>3</v>
      </c>
      <c r="AF256" s="6" t="s">
        <v>3</v>
      </c>
      <c r="AG256" s="6" t="s">
        <v>3</v>
      </c>
      <c r="AH256" s="6" t="s">
        <v>3</v>
      </c>
      <c r="AI256" s="6" t="s">
        <v>3</v>
      </c>
      <c r="AJ256" s="6" t="s">
        <v>3</v>
      </c>
      <c r="AK256" s="5">
        <f t="shared" si="66"/>
        <v>491.29614201878053</v>
      </c>
      <c r="AL256" s="7">
        <f t="shared" si="67"/>
        <v>-0.32978454773843868</v>
      </c>
      <c r="AM256" s="7">
        <f t="shared" si="68"/>
        <v>0.39961959914037104</v>
      </c>
    </row>
    <row r="257" spans="10:39" x14ac:dyDescent="0.25">
      <c r="J257" s="3">
        <v>251</v>
      </c>
      <c r="K257" s="7">
        <v>-1.1991828147545514E-2</v>
      </c>
      <c r="L257" s="7">
        <f t="shared" si="58"/>
        <v>3.1384550487223124E-7</v>
      </c>
      <c r="M257" s="7">
        <f t="shared" ca="1" si="53"/>
        <v>-0.16899506261826819</v>
      </c>
      <c r="N257" s="7">
        <f t="shared" si="54"/>
        <v>-1.1991828147545514E-2</v>
      </c>
      <c r="O257" s="7">
        <v>-0.14819229724694324</v>
      </c>
      <c r="P257" s="7">
        <f t="shared" si="55"/>
        <v>-1.8797355279254191E-3</v>
      </c>
      <c r="Q257" s="7">
        <f t="shared" si="59"/>
        <v>0.14631256171901783</v>
      </c>
      <c r="R257" s="7">
        <f t="shared" si="56"/>
        <v>-0.32907964014349034</v>
      </c>
      <c r="S257" s="7">
        <f t="shared" si="60"/>
        <v>-1.4470987431723767E-2</v>
      </c>
      <c r="T257" s="7">
        <f t="shared" si="61"/>
        <v>1</v>
      </c>
      <c r="U257" s="7">
        <f t="shared" si="57"/>
        <v>0.40291628521905354</v>
      </c>
      <c r="V257" s="7">
        <f t="shared" si="62"/>
        <v>5.2355315334269695E-2</v>
      </c>
      <c r="W257" s="7">
        <f t="shared" si="63"/>
        <v>0</v>
      </c>
      <c r="X257" s="8" t="s">
        <v>3</v>
      </c>
      <c r="Y257" s="7">
        <v>-1.1991828147545514E-2</v>
      </c>
      <c r="Z257" s="7">
        <v>-1.8797355279254191E-3</v>
      </c>
      <c r="AC257" s="7">
        <f t="shared" si="64"/>
        <v>0.32719990461556492</v>
      </c>
      <c r="AD257" s="7">
        <f t="shared" si="65"/>
        <v>0.40479602074697896</v>
      </c>
      <c r="AE257" s="6" t="s">
        <v>3</v>
      </c>
      <c r="AF257" s="6" t="s">
        <v>3</v>
      </c>
      <c r="AG257" s="6" t="s">
        <v>3</v>
      </c>
      <c r="AH257" s="6" t="s">
        <v>3</v>
      </c>
      <c r="AI257" s="6" t="s">
        <v>3</v>
      </c>
      <c r="AJ257" s="6" t="s">
        <v>3</v>
      </c>
      <c r="AK257" s="5">
        <f t="shared" si="66"/>
        <v>494.4349806178783</v>
      </c>
      <c r="AL257" s="7">
        <f t="shared" si="67"/>
        <v>-0.32907964014349034</v>
      </c>
      <c r="AM257" s="7">
        <f t="shared" si="68"/>
        <v>0.40291628521905354</v>
      </c>
    </row>
    <row r="258" spans="10:39" x14ac:dyDescent="0.25">
      <c r="J258" s="3">
        <v>252</v>
      </c>
      <c r="K258" s="7">
        <v>-1.0308601796264805E-2</v>
      </c>
      <c r="L258" s="7">
        <f t="shared" si="58"/>
        <v>1.7110983638278675E-7</v>
      </c>
      <c r="M258" s="7">
        <f t="shared" ca="1" si="53"/>
        <v>0.34818488195224073</v>
      </c>
      <c r="N258" s="7">
        <f t="shared" si="54"/>
        <v>-1.0308601796264805E-2</v>
      </c>
      <c r="O258" s="7">
        <v>-0.12481436206711205</v>
      </c>
      <c r="P258" s="7">
        <f t="shared" si="55"/>
        <v>-1.9780504775512853E-3</v>
      </c>
      <c r="Q258" s="7">
        <f t="shared" si="59"/>
        <v>0.12283631158956076</v>
      </c>
      <c r="R258" s="7">
        <f t="shared" si="56"/>
        <v>-0.32888478584296887</v>
      </c>
      <c r="S258" s="7">
        <f t="shared" si="60"/>
        <v>-1.6325633902068547E-2</v>
      </c>
      <c r="T258" s="7">
        <f t="shared" si="61"/>
        <v>1</v>
      </c>
      <c r="U258" s="7">
        <f t="shared" si="57"/>
        <v>0.40362310338943352</v>
      </c>
      <c r="V258" s="7">
        <f t="shared" si="62"/>
        <v>5.0201559218371827E-2</v>
      </c>
      <c r="W258" s="7">
        <f t="shared" si="63"/>
        <v>0</v>
      </c>
      <c r="X258" s="8" t="s">
        <v>3</v>
      </c>
      <c r="Y258" s="7">
        <v>-1.0308601796264805E-2</v>
      </c>
      <c r="Z258" s="7">
        <v>-1.9780504775512853E-3</v>
      </c>
      <c r="AC258" s="7">
        <f t="shared" si="64"/>
        <v>0.32690673536541759</v>
      </c>
      <c r="AD258" s="7">
        <f t="shared" si="65"/>
        <v>0.40560115386698481</v>
      </c>
      <c r="AE258" s="6" t="s">
        <v>3</v>
      </c>
      <c r="AF258" s="6" t="s">
        <v>3</v>
      </c>
      <c r="AG258" s="6" t="s">
        <v>3</v>
      </c>
      <c r="AH258" s="6" t="s">
        <v>3</v>
      </c>
      <c r="AI258" s="6" t="s">
        <v>3</v>
      </c>
      <c r="AJ258" s="6" t="s">
        <v>3</v>
      </c>
      <c r="AK258" s="5">
        <f t="shared" si="66"/>
        <v>495.28101487543387</v>
      </c>
      <c r="AL258" s="7">
        <f t="shared" si="67"/>
        <v>-0.32888478584296887</v>
      </c>
      <c r="AM258" s="7">
        <f t="shared" si="68"/>
        <v>0.40362310338943352</v>
      </c>
    </row>
    <row r="259" spans="10:39" x14ac:dyDescent="0.25">
      <c r="J259" s="3">
        <v>253</v>
      </c>
      <c r="K259" s="7">
        <v>-8.8076608031051329E-3</v>
      </c>
      <c r="L259" s="7">
        <f t="shared" si="58"/>
        <v>9.1052383292171746E-8</v>
      </c>
      <c r="M259" s="7">
        <f t="shared" ca="1" si="53"/>
        <v>0.24850679165900044</v>
      </c>
      <c r="N259" s="7">
        <f t="shared" si="54"/>
        <v>-8.8076608031051329E-3</v>
      </c>
      <c r="O259" s="7">
        <v>0.27660864503206944</v>
      </c>
      <c r="P259" s="7">
        <f t="shared" si="55"/>
        <v>-2.0594871454160391E-3</v>
      </c>
      <c r="Q259" s="7">
        <f t="shared" si="59"/>
        <v>-0.27866813217748548</v>
      </c>
      <c r="R259" s="7">
        <f t="shared" si="56"/>
        <v>-0.32870951969426887</v>
      </c>
      <c r="S259" s="7">
        <f t="shared" si="60"/>
        <v>-4.8425453178107071E-2</v>
      </c>
      <c r="T259" s="7">
        <f t="shared" si="61"/>
        <v>1</v>
      </c>
      <c r="U259" s="7">
        <f t="shared" si="57"/>
        <v>0.40418816093842835</v>
      </c>
      <c r="V259" s="7">
        <f t="shared" si="62"/>
        <v>1.2120054011104097E-2</v>
      </c>
      <c r="W259" s="7">
        <f t="shared" si="63"/>
        <v>0</v>
      </c>
      <c r="X259" s="8" t="s">
        <v>3</v>
      </c>
      <c r="Y259" s="7">
        <v>-8.8076608031051329E-3</v>
      </c>
      <c r="Z259" s="7">
        <v>-2.0594871454160391E-3</v>
      </c>
      <c r="AC259" s="7">
        <f t="shared" si="64"/>
        <v>0.32665003254885283</v>
      </c>
      <c r="AD259" s="7">
        <f t="shared" si="65"/>
        <v>0.40624764808384439</v>
      </c>
      <c r="AE259" s="6" t="s">
        <v>3</v>
      </c>
      <c r="AF259" s="6" t="s">
        <v>3</v>
      </c>
      <c r="AG259" s="6" t="s">
        <v>3</v>
      </c>
      <c r="AH259" s="6" t="s">
        <v>3</v>
      </c>
      <c r="AI259" s="6" t="s">
        <v>3</v>
      </c>
      <c r="AJ259" s="6" t="s">
        <v>3</v>
      </c>
      <c r="AK259" s="5">
        <f t="shared" si="66"/>
        <v>496.0354276719163</v>
      </c>
      <c r="AL259" s="7">
        <f t="shared" si="67"/>
        <v>-0.32870951969426887</v>
      </c>
      <c r="AM259" s="7">
        <f t="shared" si="68"/>
        <v>0.40418816093842835</v>
      </c>
    </row>
    <row r="260" spans="10:39" x14ac:dyDescent="0.25">
      <c r="J260" s="3">
        <v>254</v>
      </c>
      <c r="K260" s="7">
        <v>-8.0563084711735566E-3</v>
      </c>
      <c r="L260" s="7">
        <f t="shared" si="58"/>
        <v>6.3690995861969771E-8</v>
      </c>
      <c r="M260" s="7">
        <f t="shared" ca="1" si="53"/>
        <v>3.2628377226239458E-2</v>
      </c>
      <c r="N260" s="7">
        <f t="shared" si="54"/>
        <v>-8.0563084711735566E-3</v>
      </c>
      <c r="O260" s="7">
        <v>-1.9859063771075158E-2</v>
      </c>
      <c r="P260" s="7">
        <f t="shared" si="55"/>
        <v>-2.0980554602041401E-3</v>
      </c>
      <c r="Q260" s="7">
        <f t="shared" si="59"/>
        <v>1.7761008310871018E-2</v>
      </c>
      <c r="R260" s="7">
        <f t="shared" si="56"/>
        <v>-0.32862128101438071</v>
      </c>
      <c r="S260" s="7">
        <f t="shared" si="60"/>
        <v>-2.4700977379464445E-2</v>
      </c>
      <c r="T260" s="7">
        <f t="shared" si="61"/>
        <v>1</v>
      </c>
      <c r="U260" s="7">
        <f t="shared" si="57"/>
        <v>0.40444799538964338</v>
      </c>
      <c r="V260" s="7">
        <f t="shared" si="62"/>
        <v>4.0309170620268259E-2</v>
      </c>
      <c r="W260" s="7">
        <f t="shared" si="63"/>
        <v>0</v>
      </c>
      <c r="X260" s="8" t="s">
        <v>3</v>
      </c>
      <c r="Y260" s="7">
        <v>-8.0563084711735566E-3</v>
      </c>
      <c r="Z260" s="7">
        <v>-2.0980554602041401E-3</v>
      </c>
      <c r="AC260" s="7">
        <f t="shared" si="64"/>
        <v>0.32652322555417657</v>
      </c>
      <c r="AD260" s="7">
        <f t="shared" si="65"/>
        <v>0.40654605084984752</v>
      </c>
      <c r="AE260" s="6" t="s">
        <v>3</v>
      </c>
      <c r="AF260" s="6" t="s">
        <v>3</v>
      </c>
      <c r="AG260" s="6" t="s">
        <v>3</v>
      </c>
      <c r="AH260" s="6" t="s">
        <v>3</v>
      </c>
      <c r="AI260" s="6" t="s">
        <v>3</v>
      </c>
      <c r="AJ260" s="6" t="s">
        <v>3</v>
      </c>
      <c r="AK260" s="5">
        <f t="shared" si="66"/>
        <v>496.41307730401996</v>
      </c>
      <c r="AL260" s="7">
        <f t="shared" si="67"/>
        <v>-0.32862128101438071</v>
      </c>
      <c r="AM260" s="7">
        <f t="shared" si="68"/>
        <v>0.40444799538964338</v>
      </c>
    </row>
    <row r="261" spans="10:39" x14ac:dyDescent="0.25">
      <c r="J261" s="3">
        <v>255</v>
      </c>
      <c r="K261" s="7">
        <v>-7.1135327721605357E-3</v>
      </c>
      <c r="L261" s="7">
        <f t="shared" si="58"/>
        <v>3.8679247820288485E-8</v>
      </c>
      <c r="M261" s="7">
        <f t="shared" ca="1" si="53"/>
        <v>-0.15903418507075046</v>
      </c>
      <c r="N261" s="7">
        <f t="shared" si="54"/>
        <v>-7.1135327721605357E-3</v>
      </c>
      <c r="O261" s="7">
        <v>-8.4036268034073963E-2</v>
      </c>
      <c r="P261" s="7">
        <f t="shared" si="55"/>
        <v>-2.1443822846394234E-3</v>
      </c>
      <c r="Q261" s="7">
        <f t="shared" si="59"/>
        <v>8.189188574943454E-2</v>
      </c>
      <c r="R261" s="7">
        <f t="shared" si="56"/>
        <v>-0.32851011274800346</v>
      </c>
      <c r="S261" s="7">
        <f t="shared" si="60"/>
        <v>-1.9557907577114359E-2</v>
      </c>
      <c r="T261" s="7">
        <f t="shared" si="61"/>
        <v>1</v>
      </c>
      <c r="U261" s="7">
        <f t="shared" si="57"/>
        <v>0.40475237483314652</v>
      </c>
      <c r="V261" s="7">
        <f t="shared" si="62"/>
        <v>4.6434921072385942E-2</v>
      </c>
      <c r="W261" s="7">
        <f t="shared" si="63"/>
        <v>0</v>
      </c>
      <c r="X261" s="8" t="s">
        <v>3</v>
      </c>
      <c r="Y261" s="7">
        <v>-7.1135327721605357E-3</v>
      </c>
      <c r="Z261" s="7">
        <v>-2.1443822846394234E-3</v>
      </c>
      <c r="AC261" s="7">
        <f t="shared" si="64"/>
        <v>0.32636573046336403</v>
      </c>
      <c r="AD261" s="7">
        <f t="shared" si="65"/>
        <v>0.40689675711778595</v>
      </c>
      <c r="AE261" s="6" t="s">
        <v>3</v>
      </c>
      <c r="AF261" s="6" t="s">
        <v>3</v>
      </c>
      <c r="AG261" s="6" t="s">
        <v>3</v>
      </c>
      <c r="AH261" s="6" t="s">
        <v>3</v>
      </c>
      <c r="AI261" s="6" t="s">
        <v>3</v>
      </c>
      <c r="AJ261" s="6" t="s">
        <v>3</v>
      </c>
      <c r="AK261" s="5">
        <f t="shared" si="66"/>
        <v>496.88694140313481</v>
      </c>
      <c r="AL261" s="7">
        <f t="shared" si="67"/>
        <v>-0.32851011274800346</v>
      </c>
      <c r="AM261" s="7">
        <f t="shared" si="68"/>
        <v>0.40475237483314652</v>
      </c>
    </row>
    <row r="262" spans="10:39" x14ac:dyDescent="0.25">
      <c r="J262" s="3">
        <v>256</v>
      </c>
      <c r="K262" s="7">
        <v>-6.16873810924079E-3</v>
      </c>
      <c r="L262" s="7">
        <f t="shared" si="58"/>
        <v>2.1853579695764685E-8</v>
      </c>
      <c r="M262" s="7">
        <f t="shared" ca="1" si="53"/>
        <v>9.7670653843946145E-2</v>
      </c>
      <c r="N262" s="7">
        <f t="shared" si="54"/>
        <v>-6.16873810924079E-3</v>
      </c>
      <c r="O262" s="7">
        <v>-0.11886128318324654</v>
      </c>
      <c r="P262" s="7">
        <f t="shared" si="55"/>
        <v>-2.1885061110706872E-3</v>
      </c>
      <c r="Q262" s="7">
        <f t="shared" si="59"/>
        <v>0.11667277707217585</v>
      </c>
      <c r="R262" s="7">
        <f t="shared" si="56"/>
        <v>-0.32839822876114066</v>
      </c>
      <c r="S262" s="7">
        <f t="shared" si="60"/>
        <v>-1.676295564623153E-2</v>
      </c>
      <c r="T262" s="7">
        <f t="shared" si="61"/>
        <v>1</v>
      </c>
      <c r="U262" s="7">
        <f t="shared" si="57"/>
        <v>0.40503332300615336</v>
      </c>
      <c r="V262" s="7">
        <f t="shared" si="62"/>
        <v>4.9769987587992989E-2</v>
      </c>
      <c r="W262" s="7">
        <f t="shared" si="63"/>
        <v>0</v>
      </c>
      <c r="X262" s="8" t="s">
        <v>3</v>
      </c>
      <c r="Y262" s="7">
        <v>-6.16873810924079E-3</v>
      </c>
      <c r="Z262" s="7">
        <v>-2.1885061110706872E-3</v>
      </c>
      <c r="AC262" s="7">
        <f t="shared" si="64"/>
        <v>0.32620972265006998</v>
      </c>
      <c r="AD262" s="7">
        <f t="shared" si="65"/>
        <v>0.40722182911722404</v>
      </c>
      <c r="AE262" s="6" t="s">
        <v>3</v>
      </c>
      <c r="AF262" s="6" t="s">
        <v>3</v>
      </c>
      <c r="AG262" s="6" t="s">
        <v>3</v>
      </c>
      <c r="AH262" s="6" t="s">
        <v>3</v>
      </c>
      <c r="AI262" s="6" t="s">
        <v>3</v>
      </c>
      <c r="AJ262" s="6" t="s">
        <v>3</v>
      </c>
      <c r="AK262" s="5">
        <f t="shared" si="66"/>
        <v>497.3618202871171</v>
      </c>
      <c r="AL262" s="7">
        <f t="shared" si="67"/>
        <v>-0.32839822876114066</v>
      </c>
      <c r="AM262" s="7">
        <f t="shared" si="68"/>
        <v>0.40503332300615336</v>
      </c>
    </row>
    <row r="263" spans="10:39" x14ac:dyDescent="0.25">
      <c r="J263" s="3">
        <v>257</v>
      </c>
      <c r="K263" s="7">
        <v>-1.9592168294897405E-3</v>
      </c>
      <c r="L263" s="7">
        <f t="shared" si="58"/>
        <v>2.2144649599872489E-10</v>
      </c>
      <c r="M263" s="7">
        <f t="shared" ref="M263:M326" ca="1" si="69">L263+0.9*_xlfn.NORM.INV(RAND(),0,0.1)+0.1*_xlfn.NORM.INV(RAND(),0,2)</f>
        <v>-4.5381927713321474E-3</v>
      </c>
      <c r="N263" s="7">
        <f t="shared" ref="N263:N326" si="70">K263</f>
        <v>-1.9592168294897405E-3</v>
      </c>
      <c r="O263" s="7">
        <v>0.21385942752254772</v>
      </c>
      <c r="P263" s="7">
        <f t="shared" ref="P263:P326" si="71">AG$8+AG$9*TANH(AG$10+AG$11*TANH(AG$12+AG$13*N263)+AG$14*TANH(AG$15+AG$16*N263)+AG$17*TANH(AG$18+AG$19*N263)+AG$20*TANH(AG$21+AG$22*N263))+AG$23*TANH(AG$24+AG$25*N263)</f>
        <v>-2.357278997264789E-3</v>
      </c>
      <c r="Q263" s="7">
        <f t="shared" si="59"/>
        <v>-0.21621670651981251</v>
      </c>
      <c r="R263" s="7">
        <f t="shared" ref="R263:R326" si="72">AH$8+AH$9*TANH(AH$10+AH$11*TANH(AH$12+AH$13*$N263)+AH$14*TANH(AH$15+AH$16*$N263)+AH$17*TANH(AH$18+AH$19*$N263)+AH$20*TANH(AH$21+AH$22*$N263))+AH$23*TANH(AH$24+AH$25*$N263)</f>
        <v>-0.3278945800965456</v>
      </c>
      <c r="S263" s="7">
        <f t="shared" si="60"/>
        <v>-4.3340320609527465E-2</v>
      </c>
      <c r="T263" s="7">
        <f t="shared" si="61"/>
        <v>1</v>
      </c>
      <c r="U263" s="7">
        <f t="shared" ref="U263:U326" si="73">AI$8+AI$9*TANH(AI$10+AI$11*TANH(AI$12+AI$13*$N263)+AI$14*TANH(AI$15+AI$16*$N263)+AI$17*TANH(AI$18+AI$19*$N263)+AI$20*TANH(AI$21+AI$22*$N263))+AI$23*TANH(AI$24+AI$25*$N263)</f>
        <v>0.40599568319607604</v>
      </c>
      <c r="V263" s="7">
        <f t="shared" si="62"/>
        <v>1.825294428898519E-2</v>
      </c>
      <c r="W263" s="7">
        <f t="shared" si="63"/>
        <v>0</v>
      </c>
      <c r="X263" s="8" t="s">
        <v>3</v>
      </c>
      <c r="Y263" s="7">
        <v>-1.9592168294897405E-3</v>
      </c>
      <c r="Z263" s="7">
        <v>-2.357278997264789E-3</v>
      </c>
      <c r="AC263" s="7">
        <f t="shared" si="64"/>
        <v>0.32553730109928081</v>
      </c>
      <c r="AD263" s="7">
        <f t="shared" si="65"/>
        <v>0.40835296219334083</v>
      </c>
      <c r="AE263" s="6" t="s">
        <v>3</v>
      </c>
      <c r="AF263" s="6" t="s">
        <v>3</v>
      </c>
      <c r="AG263" s="6" t="s">
        <v>3</v>
      </c>
      <c r="AH263" s="6" t="s">
        <v>3</v>
      </c>
      <c r="AI263" s="6" t="s">
        <v>3</v>
      </c>
      <c r="AJ263" s="6" t="s">
        <v>3</v>
      </c>
      <c r="AK263" s="5">
        <f t="shared" si="66"/>
        <v>499.47763745446889</v>
      </c>
      <c r="AL263" s="7">
        <f t="shared" si="67"/>
        <v>-0.3278945800965456</v>
      </c>
      <c r="AM263" s="7">
        <f t="shared" si="68"/>
        <v>0.40599568319607604</v>
      </c>
    </row>
    <row r="264" spans="10:39" x14ac:dyDescent="0.25">
      <c r="J264" s="3">
        <v>258</v>
      </c>
      <c r="K264" s="7">
        <v>-1.9318997975790175E-3</v>
      </c>
      <c r="L264" s="7">
        <f t="shared" ref="L264:L327" si="74">15*(K264^2-1)^2*K264^4*EXP(-1*K264)</f>
        <v>2.0934636221941122E-10</v>
      </c>
      <c r="M264" s="7">
        <f t="shared" ca="1" si="69"/>
        <v>0.12721825821362698</v>
      </c>
      <c r="N264" s="7">
        <f t="shared" si="70"/>
        <v>-1.9318997975790175E-3</v>
      </c>
      <c r="O264" s="7">
        <v>0.4917577566762546</v>
      </c>
      <c r="P264" s="7">
        <f t="shared" si="71"/>
        <v>-2.3582267179489413E-3</v>
      </c>
      <c r="Q264" s="7">
        <f t="shared" ref="Q264:Q327" si="75">P264-O264</f>
        <v>-0.49411598339420354</v>
      </c>
      <c r="R264" s="7">
        <f t="shared" si="72"/>
        <v>-0.32789128725860994</v>
      </c>
      <c r="S264" s="7">
        <f t="shared" ref="S264:S327" si="76">IF(R264-O264&gt;0,1-$S$5,$S$5)*(R264-O264)</f>
        <v>-6.557192351478916E-2</v>
      </c>
      <c r="T264" s="7">
        <f t="shared" ref="T264:T327" si="77">IF(R264&lt;O264,1,0)</f>
        <v>1</v>
      </c>
      <c r="U264" s="7">
        <f t="shared" si="73"/>
        <v>0.40600040452290553</v>
      </c>
      <c r="V264" s="7">
        <f t="shared" ref="V264:V327" si="78">IF(U264-O264&lt;0,1-$V$5,$V$5)*(U264-O264)</f>
        <v>-7.7610403698780903E-2</v>
      </c>
      <c r="W264" s="7">
        <f t="shared" ref="W264:W327" si="79">IF(U264&lt;O264,1,0)</f>
        <v>1</v>
      </c>
      <c r="X264" s="8" t="s">
        <v>3</v>
      </c>
      <c r="Y264" s="7">
        <v>-1.9318997975790175E-3</v>
      </c>
      <c r="Z264" s="7">
        <v>-2.3582267179489413E-3</v>
      </c>
      <c r="AC264" s="7">
        <f t="shared" ref="AC264:AC327" si="80">P264-R264</f>
        <v>0.325533060540661</v>
      </c>
      <c r="AD264" s="7">
        <f t="shared" ref="AD264:AD327" si="81">U264-P264</f>
        <v>0.40835863124085447</v>
      </c>
      <c r="AE264" s="6" t="s">
        <v>3</v>
      </c>
      <c r="AF264" s="6" t="s">
        <v>3</v>
      </c>
      <c r="AG264" s="6" t="s">
        <v>3</v>
      </c>
      <c r="AH264" s="6" t="s">
        <v>3</v>
      </c>
      <c r="AI264" s="6" t="s">
        <v>3</v>
      </c>
      <c r="AJ264" s="6" t="s">
        <v>3</v>
      </c>
      <c r="AK264" s="5">
        <f t="shared" ref="AK264:AK327" si="82">1000*(N264-MIN(N$7:N$507))/(MAX(N$7:N$507)-MIN(N$7:N$507))</f>
        <v>499.4913677200351</v>
      </c>
      <c r="AL264" s="7">
        <f t="shared" ref="AL264:AL327" si="83">R264</f>
        <v>-0.32789128725860994</v>
      </c>
      <c r="AM264" s="7">
        <f t="shared" ref="AM264:AM327" si="84">U264-0*R264</f>
        <v>0.40600040452290553</v>
      </c>
    </row>
    <row r="265" spans="10:39" x14ac:dyDescent="0.25">
      <c r="J265" s="3">
        <v>259</v>
      </c>
      <c r="K265" s="7">
        <v>-1.5889088159604103E-3</v>
      </c>
      <c r="L265" s="7">
        <f t="shared" si="74"/>
        <v>9.5757989526288142E-11</v>
      </c>
      <c r="M265" s="7">
        <f t="shared" ca="1" si="69"/>
        <v>0.3905518702606593</v>
      </c>
      <c r="N265" s="7">
        <f t="shared" si="70"/>
        <v>-1.5889088159604103E-3</v>
      </c>
      <c r="O265" s="7">
        <v>-0.18642071663898668</v>
      </c>
      <c r="P265" s="7">
        <f t="shared" si="71"/>
        <v>-2.3699652684974204E-3</v>
      </c>
      <c r="Q265" s="7">
        <f t="shared" si="75"/>
        <v>0.18405075137048926</v>
      </c>
      <c r="R265" s="7">
        <f t="shared" si="72"/>
        <v>-0.32784991860378199</v>
      </c>
      <c r="S265" s="7">
        <f t="shared" si="76"/>
        <v>-1.1314336157183625E-2</v>
      </c>
      <c r="T265" s="7">
        <f t="shared" si="77"/>
        <v>1</v>
      </c>
      <c r="U265" s="7">
        <f t="shared" si="73"/>
        <v>0.4060580353946972</v>
      </c>
      <c r="V265" s="7">
        <f t="shared" si="78"/>
        <v>5.6285481443199961E-2</v>
      </c>
      <c r="W265" s="7">
        <f t="shared" si="79"/>
        <v>0</v>
      </c>
      <c r="X265" s="8" t="s">
        <v>3</v>
      </c>
      <c r="Y265" s="7">
        <v>-1.5889088159604103E-3</v>
      </c>
      <c r="Z265" s="7">
        <v>-2.3699652684974204E-3</v>
      </c>
      <c r="AC265" s="7">
        <f t="shared" si="80"/>
        <v>0.32547995333528457</v>
      </c>
      <c r="AD265" s="7">
        <f t="shared" si="81"/>
        <v>0.40842800066319462</v>
      </c>
      <c r="AE265" s="6" t="s">
        <v>3</v>
      </c>
      <c r="AF265" s="6" t="s">
        <v>3</v>
      </c>
      <c r="AG265" s="6" t="s">
        <v>3</v>
      </c>
      <c r="AH265" s="6" t="s">
        <v>3</v>
      </c>
      <c r="AI265" s="6" t="s">
        <v>3</v>
      </c>
      <c r="AJ265" s="6" t="s">
        <v>3</v>
      </c>
      <c r="AK265" s="5">
        <f t="shared" si="82"/>
        <v>499.66376409456979</v>
      </c>
      <c r="AL265" s="7">
        <f t="shared" si="83"/>
        <v>-0.32784991860378199</v>
      </c>
      <c r="AM265" s="7">
        <f t="shared" si="84"/>
        <v>0.4060580353946972</v>
      </c>
    </row>
    <row r="266" spans="10:39" x14ac:dyDescent="0.25">
      <c r="J266" s="3">
        <v>260</v>
      </c>
      <c r="K266" s="7">
        <v>5.096568500339238E-3</v>
      </c>
      <c r="L266" s="7">
        <f t="shared" si="74"/>
        <v>1.0068545765302466E-8</v>
      </c>
      <c r="M266" s="7">
        <f t="shared" ca="1" si="69"/>
        <v>-0.28000327006514519</v>
      </c>
      <c r="N266" s="7">
        <f t="shared" si="70"/>
        <v>5.096568500339238E-3</v>
      </c>
      <c r="O266" s="7">
        <v>7.806305986978132E-2</v>
      </c>
      <c r="P266" s="7">
        <f t="shared" si="71"/>
        <v>-2.5397707368135514E-3</v>
      </c>
      <c r="Q266" s="7">
        <f t="shared" si="75"/>
        <v>-8.0602830606594872E-2</v>
      </c>
      <c r="R266" s="7">
        <f t="shared" si="72"/>
        <v>-0.32703633632556794</v>
      </c>
      <c r="S266" s="7">
        <f t="shared" si="76"/>
        <v>-3.2407951695627941E-2</v>
      </c>
      <c r="T266" s="7">
        <f t="shared" si="77"/>
        <v>1</v>
      </c>
      <c r="U266" s="7">
        <f t="shared" si="73"/>
        <v>0.40658685527068172</v>
      </c>
      <c r="V266" s="7">
        <f t="shared" si="78"/>
        <v>3.1209760563085536E-2</v>
      </c>
      <c r="W266" s="7">
        <f t="shared" si="79"/>
        <v>0</v>
      </c>
      <c r="X266" s="8" t="s">
        <v>3</v>
      </c>
      <c r="Y266" s="7">
        <v>5.096568500339238E-3</v>
      </c>
      <c r="Z266" s="7">
        <v>-2.5397707368135514E-3</v>
      </c>
      <c r="AC266" s="7">
        <f t="shared" si="80"/>
        <v>0.32449656558875439</v>
      </c>
      <c r="AD266" s="7">
        <f t="shared" si="81"/>
        <v>0.40912662600749528</v>
      </c>
      <c r="AE266" s="6" t="s">
        <v>3</v>
      </c>
      <c r="AF266" s="6" t="s">
        <v>3</v>
      </c>
      <c r="AG266" s="6" t="s">
        <v>3</v>
      </c>
      <c r="AH266" s="6" t="s">
        <v>3</v>
      </c>
      <c r="AI266" s="6" t="s">
        <v>3</v>
      </c>
      <c r="AJ266" s="6" t="s">
        <v>3</v>
      </c>
      <c r="AK266" s="5">
        <f t="shared" si="82"/>
        <v>503.02406250802835</v>
      </c>
      <c r="AL266" s="7">
        <f t="shared" si="83"/>
        <v>-0.32703633632556794</v>
      </c>
      <c r="AM266" s="7">
        <f t="shared" si="84"/>
        <v>0.40658685527068172</v>
      </c>
    </row>
    <row r="267" spans="10:39" x14ac:dyDescent="0.25">
      <c r="J267" s="3">
        <v>261</v>
      </c>
      <c r="K267" s="7">
        <v>1.6351115619617218E-2</v>
      </c>
      <c r="L267" s="7">
        <f t="shared" si="74"/>
        <v>1.0542591076428411E-6</v>
      </c>
      <c r="M267" s="7">
        <f t="shared" ca="1" si="69"/>
        <v>0.35369897787157845</v>
      </c>
      <c r="N267" s="7">
        <f t="shared" si="70"/>
        <v>1.6351115619617218E-2</v>
      </c>
      <c r="O267" s="7">
        <v>-5.1976947808553844E-2</v>
      </c>
      <c r="P267" s="7">
        <f t="shared" si="71"/>
        <v>-2.5790330690425023E-3</v>
      </c>
      <c r="Q267" s="7">
        <f t="shared" si="75"/>
        <v>4.9397914739511342E-2</v>
      </c>
      <c r="R267" s="7">
        <f t="shared" si="72"/>
        <v>-0.32565349810277944</v>
      </c>
      <c r="S267" s="7">
        <f t="shared" si="76"/>
        <v>-2.1894124023538047E-2</v>
      </c>
      <c r="T267" s="7">
        <f t="shared" si="77"/>
        <v>1</v>
      </c>
      <c r="U267" s="7">
        <f t="shared" si="73"/>
        <v>0.40514210375641113</v>
      </c>
      <c r="V267" s="7">
        <f t="shared" si="78"/>
        <v>4.3426309898671675E-2</v>
      </c>
      <c r="W267" s="7">
        <f t="shared" si="79"/>
        <v>0</v>
      </c>
      <c r="X267" s="8" t="s">
        <v>3</v>
      </c>
      <c r="Y267" s="7">
        <v>1.6351115619617218E-2</v>
      </c>
      <c r="Z267" s="7">
        <v>-2.5790330690425023E-3</v>
      </c>
      <c r="AC267" s="7">
        <f t="shared" si="80"/>
        <v>0.32307446503373694</v>
      </c>
      <c r="AD267" s="7">
        <f t="shared" si="81"/>
        <v>0.40772113682545363</v>
      </c>
      <c r="AE267" s="6" t="s">
        <v>3</v>
      </c>
      <c r="AF267" s="6" t="s">
        <v>3</v>
      </c>
      <c r="AG267" s="6" t="s">
        <v>3</v>
      </c>
      <c r="AH267" s="6" t="s">
        <v>3</v>
      </c>
      <c r="AI267" s="6" t="s">
        <v>3</v>
      </c>
      <c r="AJ267" s="6" t="s">
        <v>3</v>
      </c>
      <c r="AK267" s="5">
        <f t="shared" si="82"/>
        <v>508.68089672342541</v>
      </c>
      <c r="AL267" s="7">
        <f t="shared" si="83"/>
        <v>-0.32565349810277944</v>
      </c>
      <c r="AM267" s="7">
        <f t="shared" si="84"/>
        <v>0.40514210375641113</v>
      </c>
    </row>
    <row r="268" spans="10:39" x14ac:dyDescent="0.25">
      <c r="J268" s="3">
        <v>262</v>
      </c>
      <c r="K268" s="7">
        <v>2.4033175380148153E-2</v>
      </c>
      <c r="L268" s="7">
        <f t="shared" si="74"/>
        <v>4.879738734227653E-6</v>
      </c>
      <c r="M268" s="7">
        <f t="shared" ca="1" si="69"/>
        <v>-7.5823271418574839E-3</v>
      </c>
      <c r="N268" s="7">
        <f t="shared" si="70"/>
        <v>2.4033175380148153E-2</v>
      </c>
      <c r="O268" s="7">
        <v>7.36588394984743E-3</v>
      </c>
      <c r="P268" s="7">
        <f t="shared" si="71"/>
        <v>-2.4362624223028817E-3</v>
      </c>
      <c r="Q268" s="7">
        <f t="shared" si="75"/>
        <v>-9.8021463721503117E-3</v>
      </c>
      <c r="R268" s="7">
        <f t="shared" si="72"/>
        <v>-0.32471739908685837</v>
      </c>
      <c r="S268" s="7">
        <f t="shared" si="76"/>
        <v>-2.6566662642936466E-2</v>
      </c>
      <c r="T268" s="7">
        <f t="shared" si="77"/>
        <v>1</v>
      </c>
      <c r="U268" s="7">
        <f t="shared" si="73"/>
        <v>0.40273668441632582</v>
      </c>
      <c r="V268" s="7">
        <f t="shared" si="78"/>
        <v>3.7560226044315449E-2</v>
      </c>
      <c r="W268" s="7">
        <f t="shared" si="79"/>
        <v>0</v>
      </c>
      <c r="X268" s="8" t="s">
        <v>3</v>
      </c>
      <c r="Y268" s="7">
        <v>2.4033175380148153E-2</v>
      </c>
      <c r="Z268" s="7">
        <v>-2.4362624223028817E-3</v>
      </c>
      <c r="AC268" s="7">
        <f t="shared" si="80"/>
        <v>0.32228113666455549</v>
      </c>
      <c r="AD268" s="7">
        <f t="shared" si="81"/>
        <v>0.4051729468386287</v>
      </c>
      <c r="AE268" s="6" t="s">
        <v>3</v>
      </c>
      <c r="AF268" s="6" t="s">
        <v>3</v>
      </c>
      <c r="AG268" s="6" t="s">
        <v>3</v>
      </c>
      <c r="AH268" s="6" t="s">
        <v>3</v>
      </c>
      <c r="AI268" s="6" t="s">
        <v>3</v>
      </c>
      <c r="AJ268" s="6" t="s">
        <v>3</v>
      </c>
      <c r="AK268" s="5">
        <f t="shared" si="82"/>
        <v>512.54210393483424</v>
      </c>
      <c r="AL268" s="7">
        <f t="shared" si="83"/>
        <v>-0.32471739908685837</v>
      </c>
      <c r="AM268" s="7">
        <f t="shared" si="84"/>
        <v>0.40273668441632582</v>
      </c>
    </row>
    <row r="269" spans="10:39" x14ac:dyDescent="0.25">
      <c r="J269" s="3">
        <v>263</v>
      </c>
      <c r="K269" s="7">
        <v>3.0651867087243101E-2</v>
      </c>
      <c r="L269" s="7">
        <f t="shared" si="74"/>
        <v>1.2817124476249211E-5</v>
      </c>
      <c r="M269" s="7">
        <f t="shared" ca="1" si="69"/>
        <v>-0.17988350712070739</v>
      </c>
      <c r="N269" s="7">
        <f t="shared" si="70"/>
        <v>3.0651867087243101E-2</v>
      </c>
      <c r="O269" s="7">
        <v>-0.33174574899415743</v>
      </c>
      <c r="P269" s="7">
        <f t="shared" si="71"/>
        <v>-2.2090581340536986E-3</v>
      </c>
      <c r="Q269" s="7">
        <f t="shared" si="75"/>
        <v>0.32953669086010373</v>
      </c>
      <c r="R269" s="7">
        <f t="shared" si="72"/>
        <v>-0.32392636728746105</v>
      </c>
      <c r="S269" s="7">
        <f t="shared" si="76"/>
        <v>7.1938311701606724E-3</v>
      </c>
      <c r="T269" s="7">
        <f t="shared" si="77"/>
        <v>0</v>
      </c>
      <c r="U269" s="7">
        <f t="shared" si="73"/>
        <v>0.39992689292293937</v>
      </c>
      <c r="V269" s="7">
        <f t="shared" si="78"/>
        <v>6.95089009821242E-2</v>
      </c>
      <c r="W269" s="7">
        <f t="shared" si="79"/>
        <v>0</v>
      </c>
      <c r="X269" s="8" t="s">
        <v>3</v>
      </c>
      <c r="Y269" s="7">
        <v>3.0651867087243101E-2</v>
      </c>
      <c r="Z269" s="7">
        <v>-2.2090581340536986E-3</v>
      </c>
      <c r="AC269" s="7">
        <f t="shared" si="80"/>
        <v>0.32171730915340735</v>
      </c>
      <c r="AD269" s="7">
        <f t="shared" si="81"/>
        <v>0.40213595105699307</v>
      </c>
      <c r="AE269" s="6" t="s">
        <v>3</v>
      </c>
      <c r="AF269" s="6" t="s">
        <v>3</v>
      </c>
      <c r="AG269" s="6" t="s">
        <v>3</v>
      </c>
      <c r="AH269" s="6" t="s">
        <v>3</v>
      </c>
      <c r="AI269" s="6" t="s">
        <v>3</v>
      </c>
      <c r="AJ269" s="6" t="s">
        <v>3</v>
      </c>
      <c r="AK269" s="5">
        <f t="shared" si="82"/>
        <v>515.86883412780014</v>
      </c>
      <c r="AL269" s="7">
        <f t="shared" si="83"/>
        <v>-0.32392636728746105</v>
      </c>
      <c r="AM269" s="7">
        <f t="shared" si="84"/>
        <v>0.39992689292293937</v>
      </c>
    </row>
    <row r="270" spans="10:39" x14ac:dyDescent="0.25">
      <c r="J270" s="3">
        <v>264</v>
      </c>
      <c r="K270" s="7">
        <v>3.5715915435003742E-2</v>
      </c>
      <c r="L270" s="7">
        <f t="shared" si="74"/>
        <v>2.3491917965778971E-5</v>
      </c>
      <c r="M270" s="7">
        <f t="shared" ca="1" si="69"/>
        <v>-6.4755434873148859E-2</v>
      </c>
      <c r="N270" s="7">
        <f t="shared" si="70"/>
        <v>3.5715915435003742E-2</v>
      </c>
      <c r="O270" s="7">
        <v>-0.12446935199446055</v>
      </c>
      <c r="P270" s="7">
        <f t="shared" si="71"/>
        <v>-1.9733595402362525E-3</v>
      </c>
      <c r="Q270" s="7">
        <f t="shared" si="75"/>
        <v>0.1224959924542243</v>
      </c>
      <c r="R270" s="7">
        <f t="shared" si="72"/>
        <v>-0.32333526615117147</v>
      </c>
      <c r="S270" s="7">
        <f t="shared" si="76"/>
        <v>-1.5909273132536875E-2</v>
      </c>
      <c r="T270" s="7">
        <f t="shared" si="77"/>
        <v>1</v>
      </c>
      <c r="U270" s="7">
        <f t="shared" si="73"/>
        <v>0.39740389865919035</v>
      </c>
      <c r="V270" s="7">
        <f t="shared" si="78"/>
        <v>4.9577958812096833E-2</v>
      </c>
      <c r="W270" s="7">
        <f t="shared" si="79"/>
        <v>0</v>
      </c>
      <c r="X270" s="8" t="s">
        <v>3</v>
      </c>
      <c r="Y270" s="7">
        <v>3.5715915435003742E-2</v>
      </c>
      <c r="Z270" s="7">
        <v>-1.9733595402362525E-3</v>
      </c>
      <c r="AC270" s="7">
        <f t="shared" si="80"/>
        <v>0.32136190661093522</v>
      </c>
      <c r="AD270" s="7">
        <f t="shared" si="81"/>
        <v>0.3993772581994266</v>
      </c>
      <c r="AE270" s="6" t="s">
        <v>3</v>
      </c>
      <c r="AF270" s="6" t="s">
        <v>3</v>
      </c>
      <c r="AG270" s="6" t="s">
        <v>3</v>
      </c>
      <c r="AH270" s="6" t="s">
        <v>3</v>
      </c>
      <c r="AI270" s="6" t="s">
        <v>3</v>
      </c>
      <c r="AJ270" s="6" t="s">
        <v>3</v>
      </c>
      <c r="AK270" s="5">
        <f t="shared" si="82"/>
        <v>518.41415928912704</v>
      </c>
      <c r="AL270" s="7">
        <f t="shared" si="83"/>
        <v>-0.32333526615117147</v>
      </c>
      <c r="AM270" s="7">
        <f t="shared" si="84"/>
        <v>0.39740389865919035</v>
      </c>
    </row>
    <row r="271" spans="10:39" x14ac:dyDescent="0.25">
      <c r="J271" s="3">
        <v>265</v>
      </c>
      <c r="K271" s="7">
        <v>3.961883086589868E-2</v>
      </c>
      <c r="L271" s="7">
        <f t="shared" si="74"/>
        <v>3.54101028605998E-5</v>
      </c>
      <c r="M271" s="7">
        <f t="shared" ca="1" si="69"/>
        <v>0.18924522106140229</v>
      </c>
      <c r="N271" s="7">
        <f t="shared" si="70"/>
        <v>3.961883086589868E-2</v>
      </c>
      <c r="O271" s="7">
        <v>6.619321034583861E-2</v>
      </c>
      <c r="P271" s="7">
        <f t="shared" si="71"/>
        <v>-1.7567722031444077E-3</v>
      </c>
      <c r="Q271" s="7">
        <f t="shared" si="75"/>
        <v>-6.7949982548983018E-2</v>
      </c>
      <c r="R271" s="7">
        <f t="shared" si="72"/>
        <v>-0.32288995596468606</v>
      </c>
      <c r="S271" s="7">
        <f t="shared" si="76"/>
        <v>-3.1126653304841972E-2</v>
      </c>
      <c r="T271" s="7">
        <f t="shared" si="77"/>
        <v>1</v>
      </c>
      <c r="U271" s="7">
        <f t="shared" si="73"/>
        <v>0.39527845326699351</v>
      </c>
      <c r="V271" s="7">
        <f t="shared" si="78"/>
        <v>3.1263098077509717E-2</v>
      </c>
      <c r="W271" s="7">
        <f t="shared" si="79"/>
        <v>0</v>
      </c>
      <c r="X271" s="8" t="s">
        <v>3</v>
      </c>
      <c r="Y271" s="7">
        <v>3.961883086589868E-2</v>
      </c>
      <c r="Z271" s="7">
        <v>-1.7567722031444077E-3</v>
      </c>
      <c r="AC271" s="7">
        <f t="shared" si="80"/>
        <v>0.32113318376154165</v>
      </c>
      <c r="AD271" s="7">
        <f t="shared" si="81"/>
        <v>0.39703522547013792</v>
      </c>
      <c r="AE271" s="6" t="s">
        <v>3</v>
      </c>
      <c r="AF271" s="6" t="s">
        <v>3</v>
      </c>
      <c r="AG271" s="6" t="s">
        <v>3</v>
      </c>
      <c r="AH271" s="6" t="s">
        <v>3</v>
      </c>
      <c r="AI271" s="6" t="s">
        <v>3</v>
      </c>
      <c r="AJ271" s="6" t="s">
        <v>3</v>
      </c>
      <c r="AK271" s="5">
        <f t="shared" si="82"/>
        <v>520.37586821577679</v>
      </c>
      <c r="AL271" s="7">
        <f t="shared" si="83"/>
        <v>-0.32288995596468606</v>
      </c>
      <c r="AM271" s="7">
        <f t="shared" si="84"/>
        <v>0.39527845326699351</v>
      </c>
    </row>
    <row r="272" spans="10:39" x14ac:dyDescent="0.25">
      <c r="J272" s="3">
        <v>266</v>
      </c>
      <c r="K272" s="7">
        <v>4.2494213167260098E-2</v>
      </c>
      <c r="L272" s="7">
        <f t="shared" si="74"/>
        <v>4.6707384220534761E-5</v>
      </c>
      <c r="M272" s="7">
        <f t="shared" ca="1" si="69"/>
        <v>0.1710612646407112</v>
      </c>
      <c r="N272" s="7">
        <f t="shared" si="70"/>
        <v>4.2494213167260098E-2</v>
      </c>
      <c r="O272" s="7">
        <v>0.29730979153379711</v>
      </c>
      <c r="P272" s="7">
        <f t="shared" si="71"/>
        <v>-1.5784839845034426E-3</v>
      </c>
      <c r="Q272" s="7">
        <f t="shared" si="75"/>
        <v>-0.29888827551830055</v>
      </c>
      <c r="R272" s="7">
        <f t="shared" si="72"/>
        <v>-0.32256831932369323</v>
      </c>
      <c r="S272" s="7">
        <f t="shared" si="76"/>
        <v>-4.9590248868599231E-2</v>
      </c>
      <c r="T272" s="7">
        <f t="shared" si="77"/>
        <v>1</v>
      </c>
      <c r="U272" s="7">
        <f t="shared" si="73"/>
        <v>0.39362771165102961</v>
      </c>
      <c r="V272" s="7">
        <f t="shared" si="78"/>
        <v>9.1502024111370876E-3</v>
      </c>
      <c r="W272" s="7">
        <f t="shared" si="79"/>
        <v>0</v>
      </c>
      <c r="X272" s="8" t="s">
        <v>3</v>
      </c>
      <c r="Y272" s="7">
        <v>4.2494213167260098E-2</v>
      </c>
      <c r="Z272" s="7">
        <v>-1.5784839845034426E-3</v>
      </c>
      <c r="AC272" s="7">
        <f t="shared" si="80"/>
        <v>0.32098983533918979</v>
      </c>
      <c r="AD272" s="7">
        <f t="shared" si="81"/>
        <v>0.39520619563553305</v>
      </c>
      <c r="AE272" s="6" t="s">
        <v>3</v>
      </c>
      <c r="AF272" s="6" t="s">
        <v>3</v>
      </c>
      <c r="AG272" s="6" t="s">
        <v>3</v>
      </c>
      <c r="AH272" s="6" t="s">
        <v>3</v>
      </c>
      <c r="AI272" s="6" t="s">
        <v>3</v>
      </c>
      <c r="AJ272" s="6" t="s">
        <v>3</v>
      </c>
      <c r="AK272" s="5">
        <f t="shared" si="82"/>
        <v>521.82111170823384</v>
      </c>
      <c r="AL272" s="7">
        <f t="shared" si="83"/>
        <v>-0.32256831932369323</v>
      </c>
      <c r="AM272" s="7">
        <f t="shared" si="84"/>
        <v>0.39362771165102961</v>
      </c>
    </row>
    <row r="273" spans="10:39" x14ac:dyDescent="0.25">
      <c r="J273" s="3">
        <v>267</v>
      </c>
      <c r="K273" s="7">
        <v>4.581782150550584E-2</v>
      </c>
      <c r="L273" s="7">
        <f t="shared" si="74"/>
        <v>6.2878946137061021E-5</v>
      </c>
      <c r="M273" s="7">
        <f t="shared" ca="1" si="69"/>
        <v>-0.16117775406327711</v>
      </c>
      <c r="N273" s="7">
        <f t="shared" si="70"/>
        <v>4.581782150550584E-2</v>
      </c>
      <c r="O273" s="7">
        <v>0.30843633005008592</v>
      </c>
      <c r="P273" s="7">
        <f t="shared" si="71"/>
        <v>-1.3532858688316551E-3</v>
      </c>
      <c r="Q273" s="7">
        <f t="shared" si="75"/>
        <v>-0.30978961591891757</v>
      </c>
      <c r="R273" s="7">
        <f t="shared" si="72"/>
        <v>-0.3222039340302576</v>
      </c>
      <c r="S273" s="7">
        <f t="shared" si="76"/>
        <v>-5.0451221126427477E-2</v>
      </c>
      <c r="T273" s="7">
        <f t="shared" si="77"/>
        <v>1</v>
      </c>
      <c r="U273" s="7">
        <f t="shared" si="73"/>
        <v>0.3916434522588057</v>
      </c>
      <c r="V273" s="7">
        <f t="shared" si="78"/>
        <v>7.9046766098283799E-3</v>
      </c>
      <c r="W273" s="7">
        <f t="shared" si="79"/>
        <v>0</v>
      </c>
      <c r="X273" s="8" t="s">
        <v>3</v>
      </c>
      <c r="Y273" s="7">
        <v>4.581782150550584E-2</v>
      </c>
      <c r="Z273" s="7">
        <v>-1.3532858688316551E-3</v>
      </c>
      <c r="AC273" s="7">
        <f t="shared" si="80"/>
        <v>0.32085064816142594</v>
      </c>
      <c r="AD273" s="7">
        <f t="shared" si="81"/>
        <v>0.39299673812763736</v>
      </c>
      <c r="AE273" s="6" t="s">
        <v>3</v>
      </c>
      <c r="AF273" s="6" t="s">
        <v>3</v>
      </c>
      <c r="AG273" s="6" t="s">
        <v>3</v>
      </c>
      <c r="AH273" s="6" t="s">
        <v>3</v>
      </c>
      <c r="AI273" s="6" t="s">
        <v>3</v>
      </c>
      <c r="AJ273" s="6" t="s">
        <v>3</v>
      </c>
      <c r="AK273" s="5">
        <f t="shared" si="82"/>
        <v>523.49164550822684</v>
      </c>
      <c r="AL273" s="7">
        <f t="shared" si="83"/>
        <v>-0.3222039340302576</v>
      </c>
      <c r="AM273" s="7">
        <f t="shared" si="84"/>
        <v>0.3916434522588057</v>
      </c>
    </row>
    <row r="274" spans="10:39" x14ac:dyDescent="0.25">
      <c r="J274" s="3">
        <v>268</v>
      </c>
      <c r="K274" s="7">
        <v>4.8243745886441758E-2</v>
      </c>
      <c r="L274" s="7">
        <f t="shared" si="74"/>
        <v>7.7068940737262505E-5</v>
      </c>
      <c r="M274" s="7">
        <f t="shared" ca="1" si="69"/>
        <v>0.38701209978836254</v>
      </c>
      <c r="N274" s="7">
        <f t="shared" si="70"/>
        <v>4.8243745886441758E-2</v>
      </c>
      <c r="O274" s="7">
        <v>-0.15025309663541367</v>
      </c>
      <c r="P274" s="7">
        <f t="shared" si="71"/>
        <v>-1.1763636430695001E-3</v>
      </c>
      <c r="Q274" s="7">
        <f t="shared" si="75"/>
        <v>0.14907673299234417</v>
      </c>
      <c r="R274" s="7">
        <f t="shared" si="72"/>
        <v>-0.32194327561192981</v>
      </c>
      <c r="S274" s="7">
        <f t="shared" si="76"/>
        <v>-1.3735214318121292E-2</v>
      </c>
      <c r="T274" s="7">
        <f t="shared" si="77"/>
        <v>1</v>
      </c>
      <c r="U274" s="7">
        <f t="shared" si="73"/>
        <v>0.39015094247498316</v>
      </c>
      <c r="V274" s="7">
        <f t="shared" si="78"/>
        <v>5.1338383715487698E-2</v>
      </c>
      <c r="W274" s="7">
        <f t="shared" si="79"/>
        <v>0</v>
      </c>
      <c r="X274" s="8" t="s">
        <v>3</v>
      </c>
      <c r="Y274" s="7">
        <v>4.8243745886441758E-2</v>
      </c>
      <c r="Z274" s="7">
        <v>-1.1763636430695001E-3</v>
      </c>
      <c r="AC274" s="7">
        <f t="shared" si="80"/>
        <v>0.32076691196886031</v>
      </c>
      <c r="AD274" s="7">
        <f t="shared" si="81"/>
        <v>0.39132730611805266</v>
      </c>
      <c r="AE274" s="6" t="s">
        <v>3</v>
      </c>
      <c r="AF274" s="6" t="s">
        <v>3</v>
      </c>
      <c r="AG274" s="6" t="s">
        <v>3</v>
      </c>
      <c r="AH274" s="6" t="s">
        <v>3</v>
      </c>
      <c r="AI274" s="6" t="s">
        <v>3</v>
      </c>
      <c r="AJ274" s="6" t="s">
        <v>3</v>
      </c>
      <c r="AK274" s="5">
        <f t="shared" si="82"/>
        <v>524.71097951577099</v>
      </c>
      <c r="AL274" s="7">
        <f t="shared" si="83"/>
        <v>-0.32194327561192981</v>
      </c>
      <c r="AM274" s="7">
        <f t="shared" si="84"/>
        <v>0.39015094247498316</v>
      </c>
    </row>
    <row r="275" spans="10:39" x14ac:dyDescent="0.25">
      <c r="J275" s="3">
        <v>269</v>
      </c>
      <c r="K275" s="7">
        <v>5.2306602677872904E-2</v>
      </c>
      <c r="L275" s="7">
        <f t="shared" si="74"/>
        <v>1.0597932385922857E-4</v>
      </c>
      <c r="M275" s="7">
        <f t="shared" ca="1" si="69"/>
        <v>0.25022051156017744</v>
      </c>
      <c r="N275" s="7">
        <f t="shared" si="70"/>
        <v>5.2306602677872904E-2</v>
      </c>
      <c r="O275" s="7">
        <v>-0.26849262957209519</v>
      </c>
      <c r="P275" s="7">
        <f t="shared" si="71"/>
        <v>-8.5719213330648358E-4</v>
      </c>
      <c r="Q275" s="7">
        <f t="shared" si="75"/>
        <v>0.2676354374387887</v>
      </c>
      <c r="R275" s="7">
        <f t="shared" si="72"/>
        <v>-0.32151735308065543</v>
      </c>
      <c r="S275" s="7">
        <f t="shared" si="76"/>
        <v>-4.2419778806848194E-3</v>
      </c>
      <c r="T275" s="7">
        <f t="shared" si="77"/>
        <v>1</v>
      </c>
      <c r="U275" s="7">
        <f t="shared" si="73"/>
        <v>0.38758278378846933</v>
      </c>
      <c r="V275" s="7">
        <f t="shared" si="78"/>
        <v>6.2327164269253631E-2</v>
      </c>
      <c r="W275" s="7">
        <f t="shared" si="79"/>
        <v>0</v>
      </c>
      <c r="X275" s="8" t="s">
        <v>3</v>
      </c>
      <c r="Y275" s="7">
        <v>5.2306602677872904E-2</v>
      </c>
      <c r="Z275" s="7">
        <v>-8.5719213330648358E-4</v>
      </c>
      <c r="AC275" s="7">
        <f t="shared" si="80"/>
        <v>0.32066016094734895</v>
      </c>
      <c r="AD275" s="7">
        <f t="shared" si="81"/>
        <v>0.38843997592177582</v>
      </c>
      <c r="AE275" s="6" t="s">
        <v>3</v>
      </c>
      <c r="AF275" s="6" t="s">
        <v>3</v>
      </c>
      <c r="AG275" s="6" t="s">
        <v>3</v>
      </c>
      <c r="AH275" s="6" t="s">
        <v>3</v>
      </c>
      <c r="AI275" s="6" t="s">
        <v>3</v>
      </c>
      <c r="AJ275" s="6" t="s">
        <v>3</v>
      </c>
      <c r="AK275" s="5">
        <f t="shared" si="82"/>
        <v>526.75307921702495</v>
      </c>
      <c r="AL275" s="7">
        <f t="shared" si="83"/>
        <v>-0.32151735308065543</v>
      </c>
      <c r="AM275" s="7">
        <f t="shared" si="84"/>
        <v>0.38758278378846933</v>
      </c>
    </row>
    <row r="276" spans="10:39" x14ac:dyDescent="0.25">
      <c r="J276" s="3">
        <v>270</v>
      </c>
      <c r="K276" s="7">
        <v>5.6503279025554187E-2</v>
      </c>
      <c r="L276" s="7">
        <f t="shared" si="74"/>
        <v>1.4357184870458079E-4</v>
      </c>
      <c r="M276" s="7">
        <f t="shared" ca="1" si="69"/>
        <v>-0.40577417384915226</v>
      </c>
      <c r="N276" s="7">
        <f t="shared" si="70"/>
        <v>5.6503279025554187E-2</v>
      </c>
      <c r="O276" s="7">
        <v>-0.38822014864628146</v>
      </c>
      <c r="P276" s="7">
        <f t="shared" si="71"/>
        <v>-4.9865263802217896E-4</v>
      </c>
      <c r="Q276" s="7">
        <f t="shared" si="75"/>
        <v>0.38772149600825928</v>
      </c>
      <c r="R276" s="7">
        <f t="shared" si="72"/>
        <v>-0.32109208222495678</v>
      </c>
      <c r="S276" s="7">
        <f t="shared" si="76"/>
        <v>6.175782110761871E-2</v>
      </c>
      <c r="T276" s="7">
        <f t="shared" si="77"/>
        <v>0</v>
      </c>
      <c r="U276" s="7">
        <f t="shared" si="73"/>
        <v>0.38485981329777541</v>
      </c>
      <c r="V276" s="7">
        <f t="shared" si="78"/>
        <v>7.3442596384685407E-2</v>
      </c>
      <c r="W276" s="7">
        <f t="shared" si="79"/>
        <v>0</v>
      </c>
      <c r="X276" s="8" t="s">
        <v>3</v>
      </c>
      <c r="Y276" s="7">
        <v>5.6503279025554187E-2</v>
      </c>
      <c r="Z276" s="7">
        <v>-4.9865263802217896E-4</v>
      </c>
      <c r="AC276" s="7">
        <f t="shared" si="80"/>
        <v>0.3205934295869346</v>
      </c>
      <c r="AD276" s="7">
        <f t="shared" si="81"/>
        <v>0.38535846593579759</v>
      </c>
      <c r="AE276" s="6" t="s">
        <v>3</v>
      </c>
      <c r="AF276" s="6" t="s">
        <v>3</v>
      </c>
      <c r="AG276" s="6" t="s">
        <v>3</v>
      </c>
      <c r="AH276" s="6" t="s">
        <v>3</v>
      </c>
      <c r="AI276" s="6" t="s">
        <v>3</v>
      </c>
      <c r="AJ276" s="6" t="s">
        <v>3</v>
      </c>
      <c r="AK276" s="5">
        <f t="shared" si="82"/>
        <v>528.86244018045704</v>
      </c>
      <c r="AL276" s="7">
        <f t="shared" si="83"/>
        <v>-0.32109208222495678</v>
      </c>
      <c r="AM276" s="7">
        <f t="shared" si="84"/>
        <v>0.38485981329777541</v>
      </c>
    </row>
    <row r="277" spans="10:39" x14ac:dyDescent="0.25">
      <c r="J277" s="3">
        <v>271</v>
      </c>
      <c r="K277" s="7">
        <v>5.6726395493103432E-2</v>
      </c>
      <c r="L277" s="7">
        <f t="shared" si="74"/>
        <v>1.4581309469426302E-4</v>
      </c>
      <c r="M277" s="7">
        <f t="shared" ca="1" si="69"/>
        <v>1.886355951629208E-2</v>
      </c>
      <c r="N277" s="7">
        <f t="shared" si="70"/>
        <v>5.6726395493103432E-2</v>
      </c>
      <c r="O277" s="7">
        <v>0.4185355485367242</v>
      </c>
      <c r="P277" s="7">
        <f t="shared" si="71"/>
        <v>-4.7879708901232831E-4</v>
      </c>
      <c r="Q277" s="7">
        <f t="shared" si="75"/>
        <v>-0.41901434562573653</v>
      </c>
      <c r="R277" s="7">
        <f t="shared" si="72"/>
        <v>-0.3210699043930072</v>
      </c>
      <c r="S277" s="7">
        <f t="shared" si="76"/>
        <v>-5.9168436234378508E-2</v>
      </c>
      <c r="T277" s="7">
        <f t="shared" si="77"/>
        <v>1</v>
      </c>
      <c r="U277" s="7">
        <f t="shared" si="73"/>
        <v>0.38471347186150995</v>
      </c>
      <c r="V277" s="7">
        <f t="shared" si="78"/>
        <v>-3.0608979391068897E-2</v>
      </c>
      <c r="W277" s="7">
        <f t="shared" si="79"/>
        <v>1</v>
      </c>
      <c r="X277" s="8" t="s">
        <v>3</v>
      </c>
      <c r="Y277" s="7">
        <v>5.6726395493103432E-2</v>
      </c>
      <c r="Z277" s="7">
        <v>-4.7879708901232831E-4</v>
      </c>
      <c r="AC277" s="7">
        <f t="shared" si="80"/>
        <v>0.32059110730399487</v>
      </c>
      <c r="AD277" s="7">
        <f t="shared" si="81"/>
        <v>0.38519226895052228</v>
      </c>
      <c r="AE277" s="6" t="s">
        <v>3</v>
      </c>
      <c r="AF277" s="6" t="s">
        <v>3</v>
      </c>
      <c r="AG277" s="6" t="s">
        <v>3</v>
      </c>
      <c r="AH277" s="6" t="s">
        <v>3</v>
      </c>
      <c r="AI277" s="6" t="s">
        <v>3</v>
      </c>
      <c r="AJ277" s="6" t="s">
        <v>3</v>
      </c>
      <c r="AK277" s="5">
        <f t="shared" si="82"/>
        <v>528.97458444128563</v>
      </c>
      <c r="AL277" s="7">
        <f t="shared" si="83"/>
        <v>-0.3210699043930072</v>
      </c>
      <c r="AM277" s="7">
        <f t="shared" si="84"/>
        <v>0.38471347186150995</v>
      </c>
    </row>
    <row r="278" spans="10:39" x14ac:dyDescent="0.25">
      <c r="J278" s="3">
        <v>272</v>
      </c>
      <c r="K278" s="7">
        <v>6.0000908353359472E-2</v>
      </c>
      <c r="L278" s="7">
        <f t="shared" si="74"/>
        <v>1.8177403143026234E-4</v>
      </c>
      <c r="M278" s="7">
        <f t="shared" ca="1" si="69"/>
        <v>-0.29002628620737891</v>
      </c>
      <c r="N278" s="7">
        <f t="shared" si="70"/>
        <v>6.0000908353359472E-2</v>
      </c>
      <c r="O278" s="7">
        <v>-1.725628251997452E-2</v>
      </c>
      <c r="P278" s="7">
        <f t="shared" si="71"/>
        <v>-1.7845433658747467E-4</v>
      </c>
      <c r="Q278" s="7">
        <f t="shared" si="75"/>
        <v>1.7077828183387045E-2</v>
      </c>
      <c r="R278" s="7">
        <f t="shared" si="72"/>
        <v>-0.3207495544062855</v>
      </c>
      <c r="S278" s="7">
        <f t="shared" si="76"/>
        <v>-2.4279461750904879E-2</v>
      </c>
      <c r="T278" s="7">
        <f t="shared" si="77"/>
        <v>1</v>
      </c>
      <c r="U278" s="7">
        <f t="shared" si="73"/>
        <v>0.38255160275938183</v>
      </c>
      <c r="V278" s="7">
        <f t="shared" si="78"/>
        <v>3.7981749101538856E-2</v>
      </c>
      <c r="W278" s="7">
        <f t="shared" si="79"/>
        <v>0</v>
      </c>
      <c r="X278" s="8" t="s">
        <v>3</v>
      </c>
      <c r="Y278" s="7">
        <v>6.0000908353359472E-2</v>
      </c>
      <c r="Z278" s="7">
        <v>-1.7845433658747467E-4</v>
      </c>
      <c r="AC278" s="7">
        <f t="shared" si="80"/>
        <v>0.32057110006969802</v>
      </c>
      <c r="AD278" s="7">
        <f t="shared" si="81"/>
        <v>0.3827300570959693</v>
      </c>
      <c r="AE278" s="6" t="s">
        <v>3</v>
      </c>
      <c r="AF278" s="6" t="s">
        <v>3</v>
      </c>
      <c r="AG278" s="6" t="s">
        <v>3</v>
      </c>
      <c r="AH278" s="6" t="s">
        <v>3</v>
      </c>
      <c r="AI278" s="6" t="s">
        <v>3</v>
      </c>
      <c r="AJ278" s="6" t="s">
        <v>3</v>
      </c>
      <c r="AK278" s="5">
        <f t="shared" si="82"/>
        <v>530.6204415504468</v>
      </c>
      <c r="AL278" s="7">
        <f t="shared" si="83"/>
        <v>-0.3207495544062855</v>
      </c>
      <c r="AM278" s="7">
        <f t="shared" si="84"/>
        <v>0.38255160275938183</v>
      </c>
    </row>
    <row r="279" spans="10:39" x14ac:dyDescent="0.25">
      <c r="J279" s="3">
        <v>273</v>
      </c>
      <c r="K279" s="7">
        <v>6.8213303070381981E-2</v>
      </c>
      <c r="L279" s="7">
        <f t="shared" si="74"/>
        <v>3.00532810497827E-4</v>
      </c>
      <c r="M279" s="7">
        <f t="shared" ca="1" si="69"/>
        <v>-6.2619774474171372E-2</v>
      </c>
      <c r="N279" s="7">
        <f t="shared" si="70"/>
        <v>6.8213303070381981E-2</v>
      </c>
      <c r="O279" s="7">
        <v>0.17883203539746048</v>
      </c>
      <c r="P279" s="7">
        <f t="shared" si="71"/>
        <v>6.4500803128586526E-4</v>
      </c>
      <c r="Q279" s="7">
        <f t="shared" si="75"/>
        <v>-0.17818702736617462</v>
      </c>
      <c r="R279" s="7">
        <f t="shared" si="72"/>
        <v>-0.31998956660039291</v>
      </c>
      <c r="S279" s="7">
        <f t="shared" si="76"/>
        <v>-3.9905728159828277E-2</v>
      </c>
      <c r="T279" s="7">
        <f t="shared" si="77"/>
        <v>1</v>
      </c>
      <c r="U279" s="7">
        <f t="shared" si="73"/>
        <v>0.37706065654923027</v>
      </c>
      <c r="V279" s="7">
        <f t="shared" si="78"/>
        <v>1.883171900941813E-2</v>
      </c>
      <c r="W279" s="7">
        <f t="shared" si="79"/>
        <v>0</v>
      </c>
      <c r="X279" s="8" t="s">
        <v>3</v>
      </c>
      <c r="Y279" s="7">
        <v>6.8213303070381981E-2</v>
      </c>
      <c r="Z279" s="7">
        <v>6.4500803128586526E-4</v>
      </c>
      <c r="AC279" s="7">
        <f t="shared" si="80"/>
        <v>0.32063457463167877</v>
      </c>
      <c r="AD279" s="7">
        <f t="shared" si="81"/>
        <v>0.3764156485179444</v>
      </c>
      <c r="AE279" s="6" t="s">
        <v>3</v>
      </c>
      <c r="AF279" s="6" t="s">
        <v>3</v>
      </c>
      <c r="AG279" s="6" t="s">
        <v>3</v>
      </c>
      <c r="AH279" s="6" t="s">
        <v>3</v>
      </c>
      <c r="AI279" s="6" t="s">
        <v>3</v>
      </c>
      <c r="AJ279" s="6" t="s">
        <v>3</v>
      </c>
      <c r="AK279" s="5">
        <f t="shared" si="82"/>
        <v>534.74820919256047</v>
      </c>
      <c r="AL279" s="7">
        <f t="shared" si="83"/>
        <v>-0.31998956660039291</v>
      </c>
      <c r="AM279" s="7">
        <f t="shared" si="84"/>
        <v>0.37706065654923027</v>
      </c>
    </row>
    <row r="280" spans="10:39" x14ac:dyDescent="0.25">
      <c r="J280" s="3">
        <v>274</v>
      </c>
      <c r="K280" s="7">
        <v>7.999677505432401E-2</v>
      </c>
      <c r="L280" s="7">
        <f t="shared" si="74"/>
        <v>5.5983833762957545E-4</v>
      </c>
      <c r="M280" s="7">
        <f t="shared" ca="1" si="69"/>
        <v>0.34536713684343245</v>
      </c>
      <c r="N280" s="7">
        <f t="shared" si="70"/>
        <v>7.999677505432401E-2</v>
      </c>
      <c r="O280" s="7">
        <v>-0.19588080283643267</v>
      </c>
      <c r="P280" s="7">
        <f t="shared" si="71"/>
        <v>1.9862930821199498E-3</v>
      </c>
      <c r="Q280" s="7">
        <f t="shared" si="75"/>
        <v>0.19786709591855262</v>
      </c>
      <c r="R280" s="7">
        <f t="shared" si="72"/>
        <v>-0.31901015536148769</v>
      </c>
      <c r="S280" s="7">
        <f t="shared" si="76"/>
        <v>-9.8503482020044029E-3</v>
      </c>
      <c r="T280" s="7">
        <f t="shared" si="77"/>
        <v>1</v>
      </c>
      <c r="U280" s="7">
        <f t="shared" si="73"/>
        <v>0.36921136079478423</v>
      </c>
      <c r="V280" s="7">
        <f t="shared" si="78"/>
        <v>5.3683755544965614E-2</v>
      </c>
      <c r="W280" s="7">
        <f t="shared" si="79"/>
        <v>0</v>
      </c>
      <c r="X280" s="8" t="s">
        <v>3</v>
      </c>
      <c r="Y280" s="7">
        <v>7.999677505432401E-2</v>
      </c>
      <c r="Z280" s="7">
        <v>1.9862930821199498E-3</v>
      </c>
      <c r="AC280" s="7">
        <f t="shared" si="80"/>
        <v>0.32099644844360764</v>
      </c>
      <c r="AD280" s="7">
        <f t="shared" si="81"/>
        <v>0.36722506771266428</v>
      </c>
      <c r="AE280" s="6" t="s">
        <v>3</v>
      </c>
      <c r="AF280" s="6" t="s">
        <v>3</v>
      </c>
      <c r="AG280" s="6" t="s">
        <v>3</v>
      </c>
      <c r="AH280" s="6" t="s">
        <v>3</v>
      </c>
      <c r="AI280" s="6" t="s">
        <v>3</v>
      </c>
      <c r="AJ280" s="6" t="s">
        <v>3</v>
      </c>
      <c r="AK280" s="5">
        <f t="shared" si="82"/>
        <v>540.67089508906884</v>
      </c>
      <c r="AL280" s="7">
        <f t="shared" si="83"/>
        <v>-0.31901015536148769</v>
      </c>
      <c r="AM280" s="7">
        <f t="shared" si="84"/>
        <v>0.36921136079478423</v>
      </c>
    </row>
    <row r="281" spans="10:39" x14ac:dyDescent="0.25">
      <c r="J281" s="3">
        <v>275</v>
      </c>
      <c r="K281" s="7">
        <v>8.4101843442850432E-2</v>
      </c>
      <c r="L281" s="7">
        <f t="shared" si="74"/>
        <v>6.8017848313542525E-4</v>
      </c>
      <c r="M281" s="7">
        <f t="shared" ca="1" si="69"/>
        <v>-1.3675115927697296E-2</v>
      </c>
      <c r="N281" s="7">
        <f t="shared" si="70"/>
        <v>8.4101843442850432E-2</v>
      </c>
      <c r="O281" s="7">
        <v>-6.7696951004888234E-2</v>
      </c>
      <c r="P281" s="7">
        <f t="shared" si="71"/>
        <v>2.4938693100966525E-3</v>
      </c>
      <c r="Q281" s="7">
        <f t="shared" si="75"/>
        <v>7.0190820314984886E-2</v>
      </c>
      <c r="R281" s="7">
        <f t="shared" si="72"/>
        <v>-0.31869943785732247</v>
      </c>
      <c r="S281" s="7">
        <f t="shared" si="76"/>
        <v>-2.0080198948194735E-2</v>
      </c>
      <c r="T281" s="7">
        <f t="shared" si="77"/>
        <v>1</v>
      </c>
      <c r="U281" s="7">
        <f t="shared" si="73"/>
        <v>0.36653274797272184</v>
      </c>
      <c r="V281" s="7">
        <f t="shared" si="78"/>
        <v>4.1251821402872958E-2</v>
      </c>
      <c r="W281" s="7">
        <f t="shared" si="79"/>
        <v>0</v>
      </c>
      <c r="X281" s="8" t="s">
        <v>3</v>
      </c>
      <c r="Y281" s="7">
        <v>8.4101843442850432E-2</v>
      </c>
      <c r="Z281" s="7">
        <v>2.4938693100966525E-3</v>
      </c>
      <c r="AC281" s="7">
        <f t="shared" si="80"/>
        <v>0.32119330716741912</v>
      </c>
      <c r="AD281" s="7">
        <f t="shared" si="81"/>
        <v>0.36403887866262519</v>
      </c>
      <c r="AE281" s="6" t="s">
        <v>3</v>
      </c>
      <c r="AF281" s="6" t="s">
        <v>3</v>
      </c>
      <c r="AG281" s="6" t="s">
        <v>3</v>
      </c>
      <c r="AH281" s="6" t="s">
        <v>3</v>
      </c>
      <c r="AI281" s="6" t="s">
        <v>3</v>
      </c>
      <c r="AJ281" s="6" t="s">
        <v>3</v>
      </c>
      <c r="AK281" s="5">
        <f t="shared" si="82"/>
        <v>542.73421145983468</v>
      </c>
      <c r="AL281" s="7">
        <f t="shared" si="83"/>
        <v>-0.31869943785732247</v>
      </c>
      <c r="AM281" s="7">
        <f t="shared" si="84"/>
        <v>0.36653274797272184</v>
      </c>
    </row>
    <row r="282" spans="10:39" x14ac:dyDescent="0.25">
      <c r="J282" s="3">
        <v>276</v>
      </c>
      <c r="K282" s="7">
        <v>8.9273692900438295E-2</v>
      </c>
      <c r="L282" s="7">
        <f t="shared" si="74"/>
        <v>8.5755894487324368E-4</v>
      </c>
      <c r="M282" s="7">
        <f t="shared" ca="1" si="69"/>
        <v>0.26199341406759502</v>
      </c>
      <c r="N282" s="7">
        <f t="shared" si="70"/>
        <v>8.9273692900438295E-2</v>
      </c>
      <c r="O282" s="7">
        <v>-0.20467350135313628</v>
      </c>
      <c r="P282" s="7">
        <f t="shared" si="71"/>
        <v>3.1609602384725655E-3</v>
      </c>
      <c r="Q282" s="7">
        <f t="shared" si="75"/>
        <v>0.20783446159160884</v>
      </c>
      <c r="R282" s="7">
        <f t="shared" si="72"/>
        <v>-0.31832960023487367</v>
      </c>
      <c r="S282" s="7">
        <f t="shared" si="76"/>
        <v>-9.0924879105389912E-3</v>
      </c>
      <c r="T282" s="7">
        <f t="shared" si="77"/>
        <v>1</v>
      </c>
      <c r="U282" s="7">
        <f t="shared" si="73"/>
        <v>0.36322378062682059</v>
      </c>
      <c r="V282" s="7">
        <f t="shared" si="78"/>
        <v>5.3950241788095897E-2</v>
      </c>
      <c r="W282" s="7">
        <f t="shared" si="79"/>
        <v>0</v>
      </c>
      <c r="X282" s="8" t="s">
        <v>3</v>
      </c>
      <c r="Y282" s="7">
        <v>8.9273692900438295E-2</v>
      </c>
      <c r="Z282" s="7">
        <v>3.1609602384725655E-3</v>
      </c>
      <c r="AC282" s="7">
        <f t="shared" si="80"/>
        <v>0.32149056047334623</v>
      </c>
      <c r="AD282" s="7">
        <f t="shared" si="81"/>
        <v>0.36006282038834803</v>
      </c>
      <c r="AE282" s="6" t="s">
        <v>3</v>
      </c>
      <c r="AF282" s="6" t="s">
        <v>3</v>
      </c>
      <c r="AG282" s="6" t="s">
        <v>3</v>
      </c>
      <c r="AH282" s="6" t="s">
        <v>3</v>
      </c>
      <c r="AI282" s="6" t="s">
        <v>3</v>
      </c>
      <c r="AJ282" s="6" t="s">
        <v>3</v>
      </c>
      <c r="AK282" s="5">
        <f t="shared" si="82"/>
        <v>545.33372032131979</v>
      </c>
      <c r="AL282" s="7">
        <f t="shared" si="83"/>
        <v>-0.31832960023487367</v>
      </c>
      <c r="AM282" s="7">
        <f t="shared" si="84"/>
        <v>0.36322378062682059</v>
      </c>
    </row>
    <row r="283" spans="10:39" x14ac:dyDescent="0.25">
      <c r="J283" s="3">
        <v>277</v>
      </c>
      <c r="K283" s="7">
        <v>9.2058430636928534E-2</v>
      </c>
      <c r="L283" s="7">
        <f t="shared" si="74"/>
        <v>9.6598995694834229E-4</v>
      </c>
      <c r="M283" s="7">
        <f t="shared" ca="1" si="69"/>
        <v>0.2562767759878497</v>
      </c>
      <c r="N283" s="7">
        <f t="shared" si="70"/>
        <v>9.2058430636928534E-2</v>
      </c>
      <c r="O283" s="7">
        <v>9.8947077569670139E-2</v>
      </c>
      <c r="P283" s="7">
        <f t="shared" si="71"/>
        <v>3.5324806501932926E-3</v>
      </c>
      <c r="Q283" s="7">
        <f t="shared" si="75"/>
        <v>-9.5414596919476846E-2</v>
      </c>
      <c r="R283" s="7">
        <f t="shared" si="72"/>
        <v>-0.31814011509323059</v>
      </c>
      <c r="S283" s="7">
        <f t="shared" si="76"/>
        <v>-3.336697541303206E-2</v>
      </c>
      <c r="T283" s="7">
        <f t="shared" si="77"/>
        <v>1</v>
      </c>
      <c r="U283" s="7">
        <f t="shared" si="73"/>
        <v>0.36147783625778551</v>
      </c>
      <c r="V283" s="7">
        <f t="shared" si="78"/>
        <v>2.494042207537096E-2</v>
      </c>
      <c r="W283" s="7">
        <f t="shared" si="79"/>
        <v>0</v>
      </c>
      <c r="X283" s="8" t="s">
        <v>3</v>
      </c>
      <c r="Y283" s="7">
        <v>9.2058430636928534E-2</v>
      </c>
      <c r="Z283" s="7">
        <v>3.5324806501932926E-3</v>
      </c>
      <c r="AC283" s="7">
        <f t="shared" si="80"/>
        <v>0.32167259574342388</v>
      </c>
      <c r="AD283" s="7">
        <f t="shared" si="81"/>
        <v>0.35794535560759222</v>
      </c>
      <c r="AE283" s="6" t="s">
        <v>3</v>
      </c>
      <c r="AF283" s="6" t="s">
        <v>3</v>
      </c>
      <c r="AG283" s="6" t="s">
        <v>3</v>
      </c>
      <c r="AH283" s="6" t="s">
        <v>3</v>
      </c>
      <c r="AI283" s="6" t="s">
        <v>3</v>
      </c>
      <c r="AJ283" s="6" t="s">
        <v>3</v>
      </c>
      <c r="AK283" s="5">
        <f t="shared" si="82"/>
        <v>546.7334034486579</v>
      </c>
      <c r="AL283" s="7">
        <f t="shared" si="83"/>
        <v>-0.31814011509323059</v>
      </c>
      <c r="AM283" s="7">
        <f t="shared" si="84"/>
        <v>0.36147783625778551</v>
      </c>
    </row>
    <row r="284" spans="10:39" x14ac:dyDescent="0.25">
      <c r="J284" s="3">
        <v>278</v>
      </c>
      <c r="K284" s="7">
        <v>9.605396032013358E-2</v>
      </c>
      <c r="L284" s="7">
        <f t="shared" si="74"/>
        <v>1.138637651370462E-3</v>
      </c>
      <c r="M284" s="7">
        <f t="shared" ca="1" si="69"/>
        <v>0.11759386363917904</v>
      </c>
      <c r="N284" s="7">
        <f t="shared" si="70"/>
        <v>9.605396032013358E-2</v>
      </c>
      <c r="O284" s="7">
        <v>5.8464218398722137E-2</v>
      </c>
      <c r="P284" s="7">
        <f t="shared" si="71"/>
        <v>4.0802097150636207E-3</v>
      </c>
      <c r="Q284" s="7">
        <f t="shared" si="75"/>
        <v>-5.4384008683658516E-2</v>
      </c>
      <c r="R284" s="7">
        <f t="shared" si="72"/>
        <v>-0.31787954328171786</v>
      </c>
      <c r="S284" s="7">
        <f t="shared" si="76"/>
        <v>-3.0107500934435198E-2</v>
      </c>
      <c r="T284" s="7">
        <f t="shared" si="77"/>
        <v>1</v>
      </c>
      <c r="U284" s="7">
        <f t="shared" si="73"/>
        <v>0.35902218690023346</v>
      </c>
      <c r="V284" s="7">
        <f t="shared" si="78"/>
        <v>2.8553007007643579E-2</v>
      </c>
      <c r="W284" s="7">
        <f t="shared" si="79"/>
        <v>0</v>
      </c>
      <c r="X284" s="8" t="s">
        <v>3</v>
      </c>
      <c r="Y284" s="7">
        <v>9.605396032013358E-2</v>
      </c>
      <c r="Z284" s="7">
        <v>4.0802097150636207E-3</v>
      </c>
      <c r="AC284" s="7">
        <f t="shared" si="80"/>
        <v>0.32195975299678148</v>
      </c>
      <c r="AD284" s="7">
        <f t="shared" si="81"/>
        <v>0.35494197718516984</v>
      </c>
      <c r="AE284" s="6" t="s">
        <v>3</v>
      </c>
      <c r="AF284" s="6" t="s">
        <v>3</v>
      </c>
      <c r="AG284" s="6" t="s">
        <v>3</v>
      </c>
      <c r="AH284" s="6" t="s">
        <v>3</v>
      </c>
      <c r="AI284" s="6" t="s">
        <v>3</v>
      </c>
      <c r="AJ284" s="6" t="s">
        <v>3</v>
      </c>
      <c r="AK284" s="5">
        <f t="shared" si="82"/>
        <v>548.74166275763298</v>
      </c>
      <c r="AL284" s="7">
        <f t="shared" si="83"/>
        <v>-0.31787954328171786</v>
      </c>
      <c r="AM284" s="7">
        <f t="shared" si="84"/>
        <v>0.35902218690023346</v>
      </c>
    </row>
    <row r="285" spans="10:39" x14ac:dyDescent="0.25">
      <c r="J285" s="3">
        <v>279</v>
      </c>
      <c r="K285" s="7">
        <v>9.874813130667448E-2</v>
      </c>
      <c r="L285" s="7">
        <f t="shared" si="74"/>
        <v>1.2670964941828365E-3</v>
      </c>
      <c r="M285" s="7">
        <f t="shared" ca="1" si="69"/>
        <v>-0.26459860741077756</v>
      </c>
      <c r="N285" s="7">
        <f t="shared" si="70"/>
        <v>9.874813130667448E-2</v>
      </c>
      <c r="O285" s="7">
        <v>0.13254868788368881</v>
      </c>
      <c r="P285" s="7">
        <f t="shared" si="71"/>
        <v>4.4591428218034856E-3</v>
      </c>
      <c r="Q285" s="7">
        <f t="shared" si="75"/>
        <v>-0.12808954506188533</v>
      </c>
      <c r="R285" s="7">
        <f t="shared" si="72"/>
        <v>-0.31771105526502286</v>
      </c>
      <c r="S285" s="7">
        <f t="shared" si="76"/>
        <v>-3.6020779451896932E-2</v>
      </c>
      <c r="T285" s="7">
        <f t="shared" si="77"/>
        <v>1</v>
      </c>
      <c r="U285" s="7">
        <f t="shared" si="73"/>
        <v>0.35740190597919375</v>
      </c>
      <c r="V285" s="7">
        <f t="shared" si="78"/>
        <v>2.1361055719072968E-2</v>
      </c>
      <c r="W285" s="7">
        <f t="shared" si="79"/>
        <v>0</v>
      </c>
      <c r="X285" s="8" t="s">
        <v>3</v>
      </c>
      <c r="Y285" s="7">
        <v>9.874813130667448E-2</v>
      </c>
      <c r="Z285" s="7">
        <v>4.4591428218034856E-3</v>
      </c>
      <c r="AC285" s="7">
        <f t="shared" si="80"/>
        <v>0.32217019808682634</v>
      </c>
      <c r="AD285" s="7">
        <f t="shared" si="81"/>
        <v>0.35294276315739026</v>
      </c>
      <c r="AE285" s="6" t="s">
        <v>3</v>
      </c>
      <c r="AF285" s="6" t="s">
        <v>3</v>
      </c>
      <c r="AG285" s="6" t="s">
        <v>3</v>
      </c>
      <c r="AH285" s="6" t="s">
        <v>3</v>
      </c>
      <c r="AI285" s="6" t="s">
        <v>3</v>
      </c>
      <c r="AJ285" s="6" t="s">
        <v>3</v>
      </c>
      <c r="AK285" s="5">
        <f t="shared" si="82"/>
        <v>550.09582463169806</v>
      </c>
      <c r="AL285" s="7">
        <f t="shared" si="83"/>
        <v>-0.31771105526502286</v>
      </c>
      <c r="AM285" s="7">
        <f t="shared" si="84"/>
        <v>0.35740190597919375</v>
      </c>
    </row>
    <row r="286" spans="10:39" x14ac:dyDescent="0.25">
      <c r="J286" s="3">
        <v>280</v>
      </c>
      <c r="K286" s="7">
        <v>0.10446459012351861</v>
      </c>
      <c r="L286" s="7">
        <f t="shared" si="74"/>
        <v>1.5742307856912998E-3</v>
      </c>
      <c r="M286" s="7">
        <f t="shared" ca="1" si="69"/>
        <v>5.8976225758874436E-2</v>
      </c>
      <c r="N286" s="7">
        <f t="shared" si="70"/>
        <v>0.10446459012351861</v>
      </c>
      <c r="O286" s="7">
        <v>0.33341856449089408</v>
      </c>
      <c r="P286" s="7">
        <f t="shared" si="71"/>
        <v>5.2884044309382539E-3</v>
      </c>
      <c r="Q286" s="7">
        <f t="shared" si="75"/>
        <v>-0.32813016005995582</v>
      </c>
      <c r="R286" s="7">
        <f t="shared" si="72"/>
        <v>-0.31737161341752707</v>
      </c>
      <c r="S286" s="7">
        <f t="shared" si="76"/>
        <v>-5.2063214232673689E-2</v>
      </c>
      <c r="T286" s="7">
        <f t="shared" si="77"/>
        <v>1</v>
      </c>
      <c r="U286" s="7">
        <f t="shared" si="73"/>
        <v>0.35406708120333752</v>
      </c>
      <c r="V286" s="7">
        <f t="shared" si="78"/>
        <v>1.9616090876821272E-3</v>
      </c>
      <c r="W286" s="7">
        <f t="shared" si="79"/>
        <v>0</v>
      </c>
      <c r="X286" s="8" t="s">
        <v>3</v>
      </c>
      <c r="Y286" s="7">
        <v>0.10446459012351861</v>
      </c>
      <c r="Z286" s="7">
        <v>5.2884044309382539E-3</v>
      </c>
      <c r="AC286" s="7">
        <f t="shared" si="80"/>
        <v>0.32266001784846532</v>
      </c>
      <c r="AD286" s="7">
        <f t="shared" si="81"/>
        <v>0.34877867677239927</v>
      </c>
      <c r="AE286" s="6" t="s">
        <v>3</v>
      </c>
      <c r="AF286" s="6" t="s">
        <v>3</v>
      </c>
      <c r="AG286" s="6" t="s">
        <v>3</v>
      </c>
      <c r="AH286" s="6" t="s">
        <v>3</v>
      </c>
      <c r="AI286" s="6" t="s">
        <v>3</v>
      </c>
      <c r="AJ286" s="6" t="s">
        <v>3</v>
      </c>
      <c r="AK286" s="5">
        <f t="shared" si="82"/>
        <v>552.96906861773482</v>
      </c>
      <c r="AL286" s="7">
        <f t="shared" si="83"/>
        <v>-0.31737161341752707</v>
      </c>
      <c r="AM286" s="7">
        <f t="shared" si="84"/>
        <v>0.35406708120333752</v>
      </c>
    </row>
    <row r="287" spans="10:39" x14ac:dyDescent="0.25">
      <c r="J287" s="3">
        <v>281</v>
      </c>
      <c r="K287" s="7">
        <v>0.105281485798151</v>
      </c>
      <c r="L287" s="7">
        <f t="shared" si="74"/>
        <v>1.6221639707421401E-3</v>
      </c>
      <c r="M287" s="7">
        <f t="shared" ca="1" si="69"/>
        <v>-0.27157426194102902</v>
      </c>
      <c r="N287" s="7">
        <f t="shared" si="70"/>
        <v>0.105281485798151</v>
      </c>
      <c r="O287" s="7">
        <v>-4.9497900183223364E-2</v>
      </c>
      <c r="P287" s="7">
        <f t="shared" si="71"/>
        <v>5.4096940903316515E-3</v>
      </c>
      <c r="Q287" s="7">
        <f t="shared" si="75"/>
        <v>5.4907594273555016E-2</v>
      </c>
      <c r="R287" s="7">
        <f t="shared" si="72"/>
        <v>-0.31732500349751813</v>
      </c>
      <c r="S287" s="7">
        <f t="shared" si="76"/>
        <v>-2.1426168265143583E-2</v>
      </c>
      <c r="T287" s="7">
        <f t="shared" si="77"/>
        <v>1</v>
      </c>
      <c r="U287" s="7">
        <f t="shared" si="73"/>
        <v>0.35360257384887195</v>
      </c>
      <c r="V287" s="7">
        <f t="shared" si="78"/>
        <v>3.8294545033049056E-2</v>
      </c>
      <c r="W287" s="7">
        <f t="shared" si="79"/>
        <v>0</v>
      </c>
      <c r="X287" s="8" t="s">
        <v>3</v>
      </c>
      <c r="Y287" s="7">
        <v>0.105281485798151</v>
      </c>
      <c r="Z287" s="7">
        <v>5.4096940903316515E-3</v>
      </c>
      <c r="AC287" s="7">
        <f t="shared" si="80"/>
        <v>0.32273469758784978</v>
      </c>
      <c r="AD287" s="7">
        <f t="shared" si="81"/>
        <v>0.3481928797585403</v>
      </c>
      <c r="AE287" s="6" t="s">
        <v>3</v>
      </c>
      <c r="AF287" s="6" t="s">
        <v>3</v>
      </c>
      <c r="AG287" s="6" t="s">
        <v>3</v>
      </c>
      <c r="AH287" s="6" t="s">
        <v>3</v>
      </c>
      <c r="AI287" s="6" t="s">
        <v>3</v>
      </c>
      <c r="AJ287" s="6" t="s">
        <v>3</v>
      </c>
      <c r="AK287" s="5">
        <f t="shared" si="82"/>
        <v>553.37966207420141</v>
      </c>
      <c r="AL287" s="7">
        <f t="shared" si="83"/>
        <v>-0.31732500349751813</v>
      </c>
      <c r="AM287" s="7">
        <f t="shared" si="84"/>
        <v>0.35360257384887195</v>
      </c>
    </row>
    <row r="288" spans="10:39" x14ac:dyDescent="0.25">
      <c r="J288" s="3">
        <v>282</v>
      </c>
      <c r="K288" s="7">
        <v>0.10646910780898233</v>
      </c>
      <c r="L288" s="7">
        <f t="shared" si="74"/>
        <v>1.6937312574578597E-3</v>
      </c>
      <c r="M288" s="7">
        <f t="shared" ca="1" si="69"/>
        <v>9.5893236561490541E-2</v>
      </c>
      <c r="N288" s="7">
        <f t="shared" si="70"/>
        <v>0.10646910780898233</v>
      </c>
      <c r="O288" s="7">
        <v>-0.1911915822623492</v>
      </c>
      <c r="P288" s="7">
        <f t="shared" si="71"/>
        <v>5.5872686547315809E-3</v>
      </c>
      <c r="Q288" s="7">
        <f t="shared" si="75"/>
        <v>0.19677885091708078</v>
      </c>
      <c r="R288" s="7">
        <f t="shared" si="72"/>
        <v>-0.31725804492185983</v>
      </c>
      <c r="S288" s="7">
        <f t="shared" si="76"/>
        <v>-1.0085317012760851E-2</v>
      </c>
      <c r="T288" s="7">
        <f t="shared" si="77"/>
        <v>1</v>
      </c>
      <c r="U288" s="7">
        <f t="shared" si="73"/>
        <v>0.3529328424416347</v>
      </c>
      <c r="V288" s="7">
        <f t="shared" si="78"/>
        <v>5.169182034687847E-2</v>
      </c>
      <c r="W288" s="7">
        <f t="shared" si="79"/>
        <v>0</v>
      </c>
      <c r="X288" s="8" t="s">
        <v>3</v>
      </c>
      <c r="Y288" s="7">
        <v>0.10646910780898233</v>
      </c>
      <c r="Z288" s="7">
        <v>5.5872686547315809E-3</v>
      </c>
      <c r="AC288" s="7">
        <f t="shared" si="80"/>
        <v>0.32284531357659141</v>
      </c>
      <c r="AD288" s="7">
        <f t="shared" si="81"/>
        <v>0.34734557378690312</v>
      </c>
      <c r="AE288" s="6" t="s">
        <v>3</v>
      </c>
      <c r="AF288" s="6" t="s">
        <v>3</v>
      </c>
      <c r="AG288" s="6" t="s">
        <v>3</v>
      </c>
      <c r="AH288" s="6" t="s">
        <v>3</v>
      </c>
      <c r="AI288" s="6" t="s">
        <v>3</v>
      </c>
      <c r="AJ288" s="6" t="s">
        <v>3</v>
      </c>
      <c r="AK288" s="5">
        <f t="shared" si="82"/>
        <v>553.97659243085002</v>
      </c>
      <c r="AL288" s="7">
        <f t="shared" si="83"/>
        <v>-0.31725804492185983</v>
      </c>
      <c r="AM288" s="7">
        <f t="shared" si="84"/>
        <v>0.3529328424416347</v>
      </c>
    </row>
    <row r="289" spans="10:39" x14ac:dyDescent="0.25">
      <c r="J289" s="3">
        <v>283</v>
      </c>
      <c r="K289" s="7">
        <v>0.10896012383022091</v>
      </c>
      <c r="L289" s="7">
        <f t="shared" si="74"/>
        <v>1.8512580986798249E-3</v>
      </c>
      <c r="M289" s="7">
        <f t="shared" ca="1" si="69"/>
        <v>0.28881317906507237</v>
      </c>
      <c r="N289" s="7">
        <f t="shared" si="70"/>
        <v>0.10896012383022091</v>
      </c>
      <c r="O289" s="7">
        <v>8.7908667480082317E-2</v>
      </c>
      <c r="P289" s="7">
        <f t="shared" si="71"/>
        <v>5.9645089754831737E-3</v>
      </c>
      <c r="Q289" s="7">
        <f t="shared" si="75"/>
        <v>-8.1944158504599143E-2</v>
      </c>
      <c r="R289" s="7">
        <f t="shared" si="72"/>
        <v>-0.31712059620296618</v>
      </c>
      <c r="S289" s="7">
        <f t="shared" si="76"/>
        <v>-3.2402341094643877E-2</v>
      </c>
      <c r="T289" s="7">
        <f t="shared" si="77"/>
        <v>1</v>
      </c>
      <c r="U289" s="7">
        <f t="shared" si="73"/>
        <v>0.35154999586541136</v>
      </c>
      <c r="V289" s="7">
        <f t="shared" si="78"/>
        <v>2.5045926196606262E-2</v>
      </c>
      <c r="W289" s="7">
        <f t="shared" si="79"/>
        <v>0</v>
      </c>
      <c r="X289" s="8" t="s">
        <v>3</v>
      </c>
      <c r="Y289" s="7">
        <v>0.10896012383022091</v>
      </c>
      <c r="Z289" s="7">
        <v>5.9645089754831737E-3</v>
      </c>
      <c r="AC289" s="7">
        <f t="shared" si="80"/>
        <v>0.32308510517844935</v>
      </c>
      <c r="AD289" s="7">
        <f t="shared" si="81"/>
        <v>0.34558548688992818</v>
      </c>
      <c r="AE289" s="6" t="s">
        <v>3</v>
      </c>
      <c r="AF289" s="6" t="s">
        <v>3</v>
      </c>
      <c r="AG289" s="6" t="s">
        <v>3</v>
      </c>
      <c r="AH289" s="6" t="s">
        <v>3</v>
      </c>
      <c r="AI289" s="6" t="s">
        <v>3</v>
      </c>
      <c r="AJ289" s="6" t="s">
        <v>3</v>
      </c>
      <c r="AK289" s="5">
        <f t="shared" si="82"/>
        <v>555.22864322513806</v>
      </c>
      <c r="AL289" s="7">
        <f t="shared" si="83"/>
        <v>-0.31712059620296618</v>
      </c>
      <c r="AM289" s="7">
        <f t="shared" si="84"/>
        <v>0.35154999586541136</v>
      </c>
    </row>
    <row r="290" spans="10:39" x14ac:dyDescent="0.25">
      <c r="J290" s="3">
        <v>284</v>
      </c>
      <c r="K290" s="7">
        <v>0.1091379661461267</v>
      </c>
      <c r="L290" s="7">
        <f t="shared" si="74"/>
        <v>1.8628964375441712E-3</v>
      </c>
      <c r="M290" s="7">
        <f t="shared" ca="1" si="69"/>
        <v>0.11291216934228253</v>
      </c>
      <c r="N290" s="7">
        <f t="shared" si="70"/>
        <v>0.1091379661461267</v>
      </c>
      <c r="O290" s="7">
        <v>-0.17070872840940426</v>
      </c>
      <c r="P290" s="7">
        <f t="shared" si="71"/>
        <v>5.9916894907403595E-3</v>
      </c>
      <c r="Q290" s="7">
        <f t="shared" si="75"/>
        <v>0.17670041790014462</v>
      </c>
      <c r="R290" s="7">
        <f t="shared" si="72"/>
        <v>-0.31711093393494227</v>
      </c>
      <c r="S290" s="7">
        <f t="shared" si="76"/>
        <v>-1.1712176442043041E-2</v>
      </c>
      <c r="T290" s="7">
        <f t="shared" si="77"/>
        <v>1</v>
      </c>
      <c r="U290" s="7">
        <f t="shared" si="73"/>
        <v>0.35145242218821693</v>
      </c>
      <c r="V290" s="7">
        <f t="shared" si="78"/>
        <v>4.9605309306774009E-2</v>
      </c>
      <c r="W290" s="7">
        <f t="shared" si="79"/>
        <v>0</v>
      </c>
      <c r="X290" s="8" t="s">
        <v>3</v>
      </c>
      <c r="Y290" s="7">
        <v>0.1091379661461267</v>
      </c>
      <c r="Z290" s="7">
        <v>5.9916894907403595E-3</v>
      </c>
      <c r="AC290" s="7">
        <f t="shared" si="80"/>
        <v>0.32310262342568263</v>
      </c>
      <c r="AD290" s="7">
        <f t="shared" si="81"/>
        <v>0.34546073269747657</v>
      </c>
      <c r="AE290" s="6" t="s">
        <v>3</v>
      </c>
      <c r="AF290" s="6" t="s">
        <v>3</v>
      </c>
      <c r="AG290" s="6" t="s">
        <v>3</v>
      </c>
      <c r="AH290" s="6" t="s">
        <v>3</v>
      </c>
      <c r="AI290" s="6" t="s">
        <v>3</v>
      </c>
      <c r="AJ290" s="6" t="s">
        <v>3</v>
      </c>
      <c r="AK290" s="5">
        <f t="shared" si="82"/>
        <v>555.31803149522113</v>
      </c>
      <c r="AL290" s="7">
        <f t="shared" si="83"/>
        <v>-0.31711093393494227</v>
      </c>
      <c r="AM290" s="7">
        <f t="shared" si="84"/>
        <v>0.35145242218821693</v>
      </c>
    </row>
    <row r="291" spans="10:39" x14ac:dyDescent="0.25">
      <c r="J291" s="3">
        <v>285</v>
      </c>
      <c r="K291" s="7">
        <v>0.10956323516055022</v>
      </c>
      <c r="L291" s="7">
        <f t="shared" si="74"/>
        <v>1.8909420657073075E-3</v>
      </c>
      <c r="M291" s="7">
        <f t="shared" ca="1" si="69"/>
        <v>4.4804834714323054E-2</v>
      </c>
      <c r="N291" s="7">
        <f t="shared" si="70"/>
        <v>0.10956323516055022</v>
      </c>
      <c r="O291" s="7">
        <v>0.22077358873846425</v>
      </c>
      <c r="P291" s="7">
        <f t="shared" si="71"/>
        <v>6.056819705301475E-3</v>
      </c>
      <c r="Q291" s="7">
        <f t="shared" si="75"/>
        <v>-0.21471676903316278</v>
      </c>
      <c r="R291" s="7">
        <f t="shared" si="72"/>
        <v>-0.31708790828498312</v>
      </c>
      <c r="S291" s="7">
        <f t="shared" si="76"/>
        <v>-4.3028919761875797E-2</v>
      </c>
      <c r="T291" s="7">
        <f t="shared" si="77"/>
        <v>1</v>
      </c>
      <c r="U291" s="7">
        <f t="shared" si="73"/>
        <v>0.35121972753525554</v>
      </c>
      <c r="V291" s="7">
        <f t="shared" si="78"/>
        <v>1.2392383185695173E-2</v>
      </c>
      <c r="W291" s="7">
        <f t="shared" si="79"/>
        <v>0</v>
      </c>
      <c r="X291" s="8" t="s">
        <v>3</v>
      </c>
      <c r="Y291" s="7">
        <v>0.10956323516055022</v>
      </c>
      <c r="Z291" s="7">
        <v>6.056819705301475E-3</v>
      </c>
      <c r="AC291" s="7">
        <f t="shared" si="80"/>
        <v>0.3231447279902846</v>
      </c>
      <c r="AD291" s="7">
        <f t="shared" si="81"/>
        <v>0.34516290782995407</v>
      </c>
      <c r="AE291" s="6" t="s">
        <v>3</v>
      </c>
      <c r="AF291" s="6" t="s">
        <v>3</v>
      </c>
      <c r="AG291" s="6" t="s">
        <v>3</v>
      </c>
      <c r="AH291" s="6" t="s">
        <v>3</v>
      </c>
      <c r="AI291" s="6" t="s">
        <v>3</v>
      </c>
      <c r="AJ291" s="6" t="s">
        <v>3</v>
      </c>
      <c r="AK291" s="5">
        <f t="shared" si="82"/>
        <v>555.53178299370825</v>
      </c>
      <c r="AL291" s="7">
        <f t="shared" si="83"/>
        <v>-0.31708790828498312</v>
      </c>
      <c r="AM291" s="7">
        <f t="shared" si="84"/>
        <v>0.35121972753525554</v>
      </c>
    </row>
    <row r="292" spans="10:39" x14ac:dyDescent="0.25">
      <c r="J292" s="3">
        <v>286</v>
      </c>
      <c r="K292" s="7">
        <v>0.12262598533872171</v>
      </c>
      <c r="L292" s="7">
        <f t="shared" si="74"/>
        <v>2.910752151886139E-3</v>
      </c>
      <c r="M292" s="7">
        <f t="shared" ca="1" si="69"/>
        <v>0.12677869807269043</v>
      </c>
      <c r="N292" s="7">
        <f t="shared" si="70"/>
        <v>0.12262598533872171</v>
      </c>
      <c r="O292" s="7">
        <v>-6.7678512602581994E-2</v>
      </c>
      <c r="P292" s="7">
        <f t="shared" si="71"/>
        <v>8.1511403084943979E-3</v>
      </c>
      <c r="Q292" s="7">
        <f t="shared" si="75"/>
        <v>7.5829652911076392E-2</v>
      </c>
      <c r="R292" s="7">
        <f t="shared" si="72"/>
        <v>-0.31642889439903321</v>
      </c>
      <c r="S292" s="7">
        <f t="shared" si="76"/>
        <v>-1.9900030543716096E-2</v>
      </c>
      <c r="T292" s="7">
        <f t="shared" si="77"/>
        <v>1</v>
      </c>
      <c r="U292" s="7">
        <f t="shared" si="73"/>
        <v>0.34452514513316412</v>
      </c>
      <c r="V292" s="7">
        <f t="shared" si="78"/>
        <v>3.9159347484895884E-2</v>
      </c>
      <c r="W292" s="7">
        <f t="shared" si="79"/>
        <v>0</v>
      </c>
      <c r="X292" s="8" t="s">
        <v>3</v>
      </c>
      <c r="Y292" s="7">
        <v>0.12262598533872171</v>
      </c>
      <c r="Z292" s="7">
        <v>8.1511403084943979E-3</v>
      </c>
      <c r="AC292" s="7">
        <f t="shared" si="80"/>
        <v>0.32458003470752761</v>
      </c>
      <c r="AD292" s="7">
        <f t="shared" si="81"/>
        <v>0.33637400482466973</v>
      </c>
      <c r="AE292" s="6" t="s">
        <v>3</v>
      </c>
      <c r="AF292" s="6" t="s">
        <v>3</v>
      </c>
      <c r="AG292" s="6" t="s">
        <v>3</v>
      </c>
      <c r="AH292" s="6" t="s">
        <v>3</v>
      </c>
      <c r="AI292" s="6" t="s">
        <v>3</v>
      </c>
      <c r="AJ292" s="6" t="s">
        <v>3</v>
      </c>
      <c r="AK292" s="5">
        <f t="shared" si="82"/>
        <v>562.09746807831652</v>
      </c>
      <c r="AL292" s="7">
        <f t="shared" si="83"/>
        <v>-0.31642889439903321</v>
      </c>
      <c r="AM292" s="7">
        <f t="shared" si="84"/>
        <v>0.34452514513316412</v>
      </c>
    </row>
    <row r="293" spans="10:39" x14ac:dyDescent="0.25">
      <c r="J293" s="3">
        <v>287</v>
      </c>
      <c r="K293" s="7">
        <v>0.12357934106355262</v>
      </c>
      <c r="L293" s="7">
        <f t="shared" si="74"/>
        <v>2.9980414774548473E-3</v>
      </c>
      <c r="M293" s="7">
        <f t="shared" ca="1" si="69"/>
        <v>-0.3253976549681295</v>
      </c>
      <c r="N293" s="7">
        <f t="shared" si="70"/>
        <v>0.12357934106355262</v>
      </c>
      <c r="O293" s="7">
        <v>-0.25577973227060957</v>
      </c>
      <c r="P293" s="7">
        <f t="shared" si="71"/>
        <v>8.3112779151353067E-3</v>
      </c>
      <c r="Q293" s="7">
        <f t="shared" si="75"/>
        <v>0.26409101018574488</v>
      </c>
      <c r="R293" s="7">
        <f t="shared" si="72"/>
        <v>-0.31638393157406686</v>
      </c>
      <c r="S293" s="7">
        <f t="shared" si="76"/>
        <v>-4.8483359442765828E-3</v>
      </c>
      <c r="T293" s="7">
        <f t="shared" si="77"/>
        <v>1</v>
      </c>
      <c r="U293" s="7">
        <f t="shared" si="73"/>
        <v>0.34407231837586272</v>
      </c>
      <c r="V293" s="7">
        <f t="shared" si="78"/>
        <v>5.698594481141487E-2</v>
      </c>
      <c r="W293" s="7">
        <f t="shared" si="79"/>
        <v>0</v>
      </c>
      <c r="X293" s="8" t="s">
        <v>3</v>
      </c>
      <c r="Y293" s="7">
        <v>0.12357934106355262</v>
      </c>
      <c r="Z293" s="7">
        <v>8.3112779151353067E-3</v>
      </c>
      <c r="AC293" s="7">
        <f t="shared" si="80"/>
        <v>0.32469520948920216</v>
      </c>
      <c r="AD293" s="7">
        <f t="shared" si="81"/>
        <v>0.33576104046072741</v>
      </c>
      <c r="AE293" s="6" t="s">
        <v>3</v>
      </c>
      <c r="AF293" s="6" t="s">
        <v>3</v>
      </c>
      <c r="AG293" s="6" t="s">
        <v>3</v>
      </c>
      <c r="AH293" s="6" t="s">
        <v>3</v>
      </c>
      <c r="AI293" s="6" t="s">
        <v>3</v>
      </c>
      <c r="AJ293" s="6" t="s">
        <v>3</v>
      </c>
      <c r="AK293" s="5">
        <f t="shared" si="82"/>
        <v>562.57664997933057</v>
      </c>
      <c r="AL293" s="7">
        <f t="shared" si="83"/>
        <v>-0.31638393157406686</v>
      </c>
      <c r="AM293" s="7">
        <f t="shared" si="84"/>
        <v>0.34407231837586272</v>
      </c>
    </row>
    <row r="294" spans="10:39" x14ac:dyDescent="0.25">
      <c r="J294" s="3">
        <v>288</v>
      </c>
      <c r="K294" s="7">
        <v>0.12960259612166647</v>
      </c>
      <c r="L294" s="7">
        <f t="shared" si="74"/>
        <v>3.5937421134196478E-3</v>
      </c>
      <c r="M294" s="7">
        <f t="shared" ca="1" si="69"/>
        <v>-2.7771634189443409E-2</v>
      </c>
      <c r="N294" s="7">
        <f t="shared" si="70"/>
        <v>0.12960259612166647</v>
      </c>
      <c r="O294" s="7">
        <v>-0.14033295388853695</v>
      </c>
      <c r="P294" s="7">
        <f t="shared" si="71"/>
        <v>9.3470431859161707E-3</v>
      </c>
      <c r="Q294" s="7">
        <f t="shared" si="75"/>
        <v>0.14967999707445312</v>
      </c>
      <c r="R294" s="7">
        <f t="shared" si="72"/>
        <v>-0.31610733055255391</v>
      </c>
      <c r="S294" s="7">
        <f t="shared" si="76"/>
        <v>-1.4061950133121358E-2</v>
      </c>
      <c r="T294" s="7">
        <f t="shared" si="77"/>
        <v>1</v>
      </c>
      <c r="U294" s="7">
        <f t="shared" si="73"/>
        <v>0.34132900256618059</v>
      </c>
      <c r="V294" s="7">
        <f t="shared" si="78"/>
        <v>4.5757885863198164E-2</v>
      </c>
      <c r="W294" s="7">
        <f t="shared" si="79"/>
        <v>0</v>
      </c>
      <c r="X294" s="8" t="s">
        <v>3</v>
      </c>
      <c r="Y294" s="7">
        <v>0.12960259612166647</v>
      </c>
      <c r="Z294" s="7">
        <v>9.3470431859161707E-3</v>
      </c>
      <c r="AC294" s="7">
        <f t="shared" si="80"/>
        <v>0.32545437373847008</v>
      </c>
      <c r="AD294" s="7">
        <f t="shared" si="81"/>
        <v>0.33198195938026442</v>
      </c>
      <c r="AE294" s="6" t="s">
        <v>3</v>
      </c>
      <c r="AF294" s="6" t="s">
        <v>3</v>
      </c>
      <c r="AG294" s="6" t="s">
        <v>3</v>
      </c>
      <c r="AH294" s="6" t="s">
        <v>3</v>
      </c>
      <c r="AI294" s="6" t="s">
        <v>3</v>
      </c>
      <c r="AJ294" s="6" t="s">
        <v>3</v>
      </c>
      <c r="AK294" s="5">
        <f t="shared" si="82"/>
        <v>565.60409790235178</v>
      </c>
      <c r="AL294" s="7">
        <f t="shared" si="83"/>
        <v>-0.31610733055255391</v>
      </c>
      <c r="AM294" s="7">
        <f t="shared" si="84"/>
        <v>0.34132900256618059</v>
      </c>
    </row>
    <row r="295" spans="10:39" x14ac:dyDescent="0.25">
      <c r="J295" s="3">
        <v>289</v>
      </c>
      <c r="K295" s="7">
        <v>0.13056101291316113</v>
      </c>
      <c r="L295" s="7">
        <f t="shared" si="74"/>
        <v>3.6958097415231016E-3</v>
      </c>
      <c r="M295" s="7">
        <f t="shared" ca="1" si="69"/>
        <v>-2.2915638433811461E-3</v>
      </c>
      <c r="N295" s="7">
        <f t="shared" si="70"/>
        <v>0.13056101291316113</v>
      </c>
      <c r="O295" s="7">
        <v>-0.12889728907667411</v>
      </c>
      <c r="P295" s="7">
        <f t="shared" si="71"/>
        <v>9.5157684137201493E-3</v>
      </c>
      <c r="Q295" s="7">
        <f t="shared" si="75"/>
        <v>0.13841305749039426</v>
      </c>
      <c r="R295" s="7">
        <f t="shared" si="72"/>
        <v>-0.31606435335791438</v>
      </c>
      <c r="S295" s="7">
        <f t="shared" si="76"/>
        <v>-1.4973365142499223E-2</v>
      </c>
      <c r="T295" s="7">
        <f t="shared" si="77"/>
        <v>1</v>
      </c>
      <c r="U295" s="7">
        <f t="shared" si="73"/>
        <v>0.34091148797858173</v>
      </c>
      <c r="V295" s="7">
        <f t="shared" si="78"/>
        <v>4.4631833820249302E-2</v>
      </c>
      <c r="W295" s="7">
        <f t="shared" si="79"/>
        <v>0</v>
      </c>
      <c r="X295" s="8" t="s">
        <v>3</v>
      </c>
      <c r="Y295" s="7">
        <v>0.13056101291316113</v>
      </c>
      <c r="Z295" s="7">
        <v>9.5157684137201493E-3</v>
      </c>
      <c r="AC295" s="7">
        <f t="shared" si="80"/>
        <v>0.32558012177163453</v>
      </c>
      <c r="AD295" s="7">
        <f t="shared" si="81"/>
        <v>0.33139571956486158</v>
      </c>
      <c r="AE295" s="6" t="s">
        <v>3</v>
      </c>
      <c r="AF295" s="6" t="s">
        <v>3</v>
      </c>
      <c r="AG295" s="6" t="s">
        <v>3</v>
      </c>
      <c r="AH295" s="6" t="s">
        <v>3</v>
      </c>
      <c r="AI295" s="6" t="s">
        <v>3</v>
      </c>
      <c r="AJ295" s="6" t="s">
        <v>3</v>
      </c>
      <c r="AK295" s="5">
        <f t="shared" si="82"/>
        <v>566.08582362985362</v>
      </c>
      <c r="AL295" s="7">
        <f t="shared" si="83"/>
        <v>-0.31606435335791438</v>
      </c>
      <c r="AM295" s="7">
        <f t="shared" si="84"/>
        <v>0.34091148797858173</v>
      </c>
    </row>
    <row r="296" spans="10:39" x14ac:dyDescent="0.25">
      <c r="J296" s="3">
        <v>290</v>
      </c>
      <c r="K296" s="7">
        <v>0.13478465154893637</v>
      </c>
      <c r="L296" s="7">
        <f t="shared" si="74"/>
        <v>4.1705384141864288E-3</v>
      </c>
      <c r="M296" s="7">
        <f t="shared" ca="1" si="69"/>
        <v>9.9557807628997824E-2</v>
      </c>
      <c r="N296" s="7">
        <f t="shared" si="70"/>
        <v>0.13478465154893637</v>
      </c>
      <c r="O296" s="7">
        <v>6.6926864738890757E-2</v>
      </c>
      <c r="P296" s="7">
        <f t="shared" si="71"/>
        <v>1.0272589733534954E-2</v>
      </c>
      <c r="Q296" s="7">
        <f t="shared" si="75"/>
        <v>-5.6654275005355803E-2</v>
      </c>
      <c r="R296" s="7">
        <f t="shared" si="72"/>
        <v>-0.31587762498322203</v>
      </c>
      <c r="S296" s="7">
        <f t="shared" si="76"/>
        <v>-3.0624359177769022E-2</v>
      </c>
      <c r="T296" s="7">
        <f t="shared" si="77"/>
        <v>1</v>
      </c>
      <c r="U296" s="7">
        <f t="shared" si="73"/>
        <v>0.3391348287229845</v>
      </c>
      <c r="V296" s="7">
        <f t="shared" si="78"/>
        <v>2.5859756578488907E-2</v>
      </c>
      <c r="W296" s="7">
        <f t="shared" si="79"/>
        <v>0</v>
      </c>
      <c r="X296" s="8" t="s">
        <v>3</v>
      </c>
      <c r="Y296" s="7">
        <v>0.13478465154893637</v>
      </c>
      <c r="Z296" s="7">
        <v>1.0272589733534954E-2</v>
      </c>
      <c r="AC296" s="7">
        <f t="shared" si="80"/>
        <v>0.32615021471675698</v>
      </c>
      <c r="AD296" s="7">
        <f t="shared" si="81"/>
        <v>0.32886223898944955</v>
      </c>
      <c r="AE296" s="6" t="s">
        <v>3</v>
      </c>
      <c r="AF296" s="6" t="s">
        <v>3</v>
      </c>
      <c r="AG296" s="6" t="s">
        <v>3</v>
      </c>
      <c r="AH296" s="6" t="s">
        <v>3</v>
      </c>
      <c r="AI296" s="6" t="s">
        <v>3</v>
      </c>
      <c r="AJ296" s="6" t="s">
        <v>3</v>
      </c>
      <c r="AK296" s="5">
        <f t="shared" si="82"/>
        <v>568.20873655519028</v>
      </c>
      <c r="AL296" s="7">
        <f t="shared" si="83"/>
        <v>-0.31587762498322203</v>
      </c>
      <c r="AM296" s="7">
        <f t="shared" si="84"/>
        <v>0.3391348287229845</v>
      </c>
    </row>
    <row r="297" spans="10:39" x14ac:dyDescent="0.25">
      <c r="J297" s="3">
        <v>291</v>
      </c>
      <c r="K297" s="7">
        <v>0.14425460448245597</v>
      </c>
      <c r="L297" s="7">
        <f t="shared" si="74"/>
        <v>5.391324806818542E-3</v>
      </c>
      <c r="M297" s="7">
        <f t="shared" ca="1" si="69"/>
        <v>2.3454622587633853E-3</v>
      </c>
      <c r="N297" s="7">
        <f t="shared" si="70"/>
        <v>0.14425460448245597</v>
      </c>
      <c r="O297" s="7">
        <v>0.23622690045632166</v>
      </c>
      <c r="P297" s="7">
        <f t="shared" si="71"/>
        <v>1.2052265867461109E-2</v>
      </c>
      <c r="Q297" s="7">
        <f t="shared" si="75"/>
        <v>-0.22417463458886056</v>
      </c>
      <c r="R297" s="7">
        <f t="shared" si="72"/>
        <v>-0.31546915349209392</v>
      </c>
      <c r="S297" s="7">
        <f t="shared" si="76"/>
        <v>-4.4135684315873246E-2</v>
      </c>
      <c r="T297" s="7">
        <f t="shared" si="77"/>
        <v>1</v>
      </c>
      <c r="U297" s="7">
        <f t="shared" si="73"/>
        <v>0.33553376746863739</v>
      </c>
      <c r="V297" s="7">
        <f t="shared" si="78"/>
        <v>9.4341523661699948E-3</v>
      </c>
      <c r="W297" s="7">
        <f t="shared" si="79"/>
        <v>0</v>
      </c>
      <c r="X297" s="8" t="s">
        <v>3</v>
      </c>
      <c r="Y297" s="7">
        <v>0.14425460448245597</v>
      </c>
      <c r="Z297" s="7">
        <v>1.2052265867461109E-2</v>
      </c>
      <c r="AC297" s="7">
        <f t="shared" si="80"/>
        <v>0.32752141935955503</v>
      </c>
      <c r="AD297" s="7">
        <f t="shared" si="81"/>
        <v>0.32348150160117628</v>
      </c>
      <c r="AE297" s="6" t="s">
        <v>3</v>
      </c>
      <c r="AF297" s="6" t="s">
        <v>3</v>
      </c>
      <c r="AG297" s="6" t="s">
        <v>3</v>
      </c>
      <c r="AH297" s="6" t="s">
        <v>3</v>
      </c>
      <c r="AI297" s="6" t="s">
        <v>3</v>
      </c>
      <c r="AJ297" s="6" t="s">
        <v>3</v>
      </c>
      <c r="AK297" s="5">
        <f t="shared" si="82"/>
        <v>572.96858634788191</v>
      </c>
      <c r="AL297" s="7">
        <f t="shared" si="83"/>
        <v>-0.31546915349209392</v>
      </c>
      <c r="AM297" s="7">
        <f t="shared" si="84"/>
        <v>0.33553376746863739</v>
      </c>
    </row>
    <row r="298" spans="10:39" x14ac:dyDescent="0.25">
      <c r="J298" s="3">
        <v>292</v>
      </c>
      <c r="K298" s="7">
        <v>0.14428148514719341</v>
      </c>
      <c r="L298" s="7">
        <f t="shared" si="74"/>
        <v>5.3951139496631745E-3</v>
      </c>
      <c r="M298" s="7">
        <f t="shared" ca="1" si="69"/>
        <v>0.18846909772894396</v>
      </c>
      <c r="N298" s="7">
        <f t="shared" si="70"/>
        <v>0.14428148514719341</v>
      </c>
      <c r="O298" s="7">
        <v>-8.1650520667018001E-2</v>
      </c>
      <c r="P298" s="7">
        <f t="shared" si="71"/>
        <v>1.2057488891494383E-2</v>
      </c>
      <c r="Q298" s="7">
        <f t="shared" si="75"/>
        <v>9.3708009558512384E-2</v>
      </c>
      <c r="R298" s="7">
        <f t="shared" si="72"/>
        <v>-0.31546800378716267</v>
      </c>
      <c r="S298" s="7">
        <f t="shared" si="76"/>
        <v>-1.8705398649611574E-2</v>
      </c>
      <c r="T298" s="7">
        <f t="shared" si="77"/>
        <v>1</v>
      </c>
      <c r="U298" s="7">
        <f t="shared" si="73"/>
        <v>0.33552431112617631</v>
      </c>
      <c r="V298" s="7">
        <f t="shared" si="78"/>
        <v>3.963160902035346E-2</v>
      </c>
      <c r="W298" s="7">
        <f t="shared" si="79"/>
        <v>0</v>
      </c>
      <c r="X298" s="8" t="s">
        <v>3</v>
      </c>
      <c r="Y298" s="7">
        <v>0.14428148514719341</v>
      </c>
      <c r="Z298" s="7">
        <v>1.2057488891494383E-2</v>
      </c>
      <c r="AC298" s="7">
        <f t="shared" si="80"/>
        <v>0.32752549267865705</v>
      </c>
      <c r="AD298" s="7">
        <f t="shared" si="81"/>
        <v>0.32346682223468193</v>
      </c>
      <c r="AE298" s="6" t="s">
        <v>3</v>
      </c>
      <c r="AF298" s="6" t="s">
        <v>3</v>
      </c>
      <c r="AG298" s="6" t="s">
        <v>3</v>
      </c>
      <c r="AH298" s="6" t="s">
        <v>3</v>
      </c>
      <c r="AI298" s="6" t="s">
        <v>3</v>
      </c>
      <c r="AJ298" s="6" t="s">
        <v>3</v>
      </c>
      <c r="AK298" s="5">
        <f t="shared" si="82"/>
        <v>572.98209728372046</v>
      </c>
      <c r="AL298" s="7">
        <f t="shared" si="83"/>
        <v>-0.31546800378716267</v>
      </c>
      <c r="AM298" s="7">
        <f t="shared" si="84"/>
        <v>0.33552431112617631</v>
      </c>
    </row>
    <row r="299" spans="10:39" x14ac:dyDescent="0.25">
      <c r="J299" s="3">
        <v>293</v>
      </c>
      <c r="K299" s="7">
        <v>0.14507963805066049</v>
      </c>
      <c r="L299" s="7">
        <f t="shared" si="74"/>
        <v>5.5084895833562506E-3</v>
      </c>
      <c r="M299" s="7">
        <f t="shared" ca="1" si="69"/>
        <v>0.19645677635606773</v>
      </c>
      <c r="N299" s="7">
        <f t="shared" si="70"/>
        <v>0.14507963805066049</v>
      </c>
      <c r="O299" s="7">
        <v>2.9376712317094489E-2</v>
      </c>
      <c r="P299" s="7">
        <f t="shared" si="71"/>
        <v>1.2213032907774757E-2</v>
      </c>
      <c r="Q299" s="7">
        <f t="shared" si="75"/>
        <v>-1.7163679409319732E-2</v>
      </c>
      <c r="R299" s="7">
        <f t="shared" si="72"/>
        <v>-0.31543387147552338</v>
      </c>
      <c r="S299" s="7">
        <f t="shared" si="76"/>
        <v>-2.7584846703409431E-2</v>
      </c>
      <c r="T299" s="7">
        <f t="shared" si="77"/>
        <v>1</v>
      </c>
      <c r="U299" s="7">
        <f t="shared" si="73"/>
        <v>0.33524552529162888</v>
      </c>
      <c r="V299" s="7">
        <f t="shared" si="78"/>
        <v>2.9057537232580768E-2</v>
      </c>
      <c r="W299" s="7">
        <f t="shared" si="79"/>
        <v>0</v>
      </c>
      <c r="X299" s="8" t="s">
        <v>3</v>
      </c>
      <c r="Y299" s="7">
        <v>0.14507963805066049</v>
      </c>
      <c r="Z299" s="7">
        <v>1.2213032907774757E-2</v>
      </c>
      <c r="AC299" s="7">
        <f t="shared" si="80"/>
        <v>0.32764690438329813</v>
      </c>
      <c r="AD299" s="7">
        <f t="shared" si="81"/>
        <v>0.32303249238385412</v>
      </c>
      <c r="AE299" s="6" t="s">
        <v>3</v>
      </c>
      <c r="AF299" s="6" t="s">
        <v>3</v>
      </c>
      <c r="AG299" s="6" t="s">
        <v>3</v>
      </c>
      <c r="AH299" s="6" t="s">
        <v>3</v>
      </c>
      <c r="AI299" s="6" t="s">
        <v>3</v>
      </c>
      <c r="AJ299" s="6" t="s">
        <v>3</v>
      </c>
      <c r="AK299" s="5">
        <f t="shared" si="82"/>
        <v>573.38327012573711</v>
      </c>
      <c r="AL299" s="7">
        <f t="shared" si="83"/>
        <v>-0.31543387147552338</v>
      </c>
      <c r="AM299" s="7">
        <f t="shared" si="84"/>
        <v>0.33524552529162888</v>
      </c>
    </row>
    <row r="300" spans="10:39" x14ac:dyDescent="0.25">
      <c r="J300" s="3">
        <v>294</v>
      </c>
      <c r="K300" s="7">
        <v>0.15546061536158717</v>
      </c>
      <c r="L300" s="7">
        <f t="shared" si="74"/>
        <v>7.1417922068241768E-3</v>
      </c>
      <c r="M300" s="7">
        <f t="shared" ca="1" si="69"/>
        <v>-0.36733046416039206</v>
      </c>
      <c r="N300" s="7">
        <f t="shared" si="70"/>
        <v>0.15546061536158717</v>
      </c>
      <c r="O300" s="7">
        <v>0.47656014714446526</v>
      </c>
      <c r="P300" s="7">
        <f t="shared" si="71"/>
        <v>1.4320751890178229E-2</v>
      </c>
      <c r="Q300" s="7">
        <f t="shared" si="75"/>
        <v>-0.46223939525428703</v>
      </c>
      <c r="R300" s="7">
        <f t="shared" si="72"/>
        <v>-0.31498709274313175</v>
      </c>
      <c r="S300" s="7">
        <f t="shared" si="76"/>
        <v>-6.3323779191007762E-2</v>
      </c>
      <c r="T300" s="7">
        <f t="shared" si="77"/>
        <v>1</v>
      </c>
      <c r="U300" s="7">
        <f t="shared" si="73"/>
        <v>0.33197512723514544</v>
      </c>
      <c r="V300" s="7">
        <f t="shared" si="78"/>
        <v>-0.13084944301793444</v>
      </c>
      <c r="W300" s="7">
        <f t="shared" si="79"/>
        <v>1</v>
      </c>
      <c r="X300" s="8" t="s">
        <v>3</v>
      </c>
      <c r="Y300" s="7">
        <v>0.15546061536158717</v>
      </c>
      <c r="Z300" s="7">
        <v>1.4320751890178229E-2</v>
      </c>
      <c r="AC300" s="7">
        <f t="shared" si="80"/>
        <v>0.32930784463330998</v>
      </c>
      <c r="AD300" s="7">
        <f t="shared" si="81"/>
        <v>0.31765437534496721</v>
      </c>
      <c r="AE300" s="6" t="s">
        <v>3</v>
      </c>
      <c r="AF300" s="6" t="s">
        <v>3</v>
      </c>
      <c r="AG300" s="6" t="s">
        <v>3</v>
      </c>
      <c r="AH300" s="6" t="s">
        <v>3</v>
      </c>
      <c r="AI300" s="6" t="s">
        <v>3</v>
      </c>
      <c r="AJ300" s="6" t="s">
        <v>3</v>
      </c>
      <c r="AK300" s="5">
        <f t="shared" si="82"/>
        <v>578.60102496023626</v>
      </c>
      <c r="AL300" s="7">
        <f t="shared" si="83"/>
        <v>-0.31498709274313175</v>
      </c>
      <c r="AM300" s="7">
        <f t="shared" si="84"/>
        <v>0.33197512723514544</v>
      </c>
    </row>
    <row r="301" spans="10:39" x14ac:dyDescent="0.25">
      <c r="J301" s="3">
        <v>295</v>
      </c>
      <c r="K301" s="7">
        <v>0.15845346192160092</v>
      </c>
      <c r="L301" s="7">
        <f t="shared" si="74"/>
        <v>7.6700144580288598E-3</v>
      </c>
      <c r="M301" s="7">
        <f t="shared" ca="1" si="69"/>
        <v>-4.74001376138391E-2</v>
      </c>
      <c r="N301" s="7">
        <f t="shared" si="70"/>
        <v>0.15845346192160092</v>
      </c>
      <c r="O301" s="7">
        <v>-0.31866394608190535</v>
      </c>
      <c r="P301" s="7">
        <f t="shared" si="71"/>
        <v>1.4959298297557488E-2</v>
      </c>
      <c r="Q301" s="7">
        <f t="shared" si="75"/>
        <v>0.33362324437946284</v>
      </c>
      <c r="R301" s="7">
        <f t="shared" si="72"/>
        <v>-0.31485567967710804</v>
      </c>
      <c r="S301" s="7">
        <f t="shared" si="76"/>
        <v>3.5036050924135268E-3</v>
      </c>
      <c r="T301" s="7">
        <f t="shared" si="77"/>
        <v>0</v>
      </c>
      <c r="U301" s="7">
        <f t="shared" si="73"/>
        <v>0.33115645042965003</v>
      </c>
      <c r="V301" s="7">
        <f t="shared" si="78"/>
        <v>6.1732937668597769E-2</v>
      </c>
      <c r="W301" s="7">
        <f t="shared" si="79"/>
        <v>0</v>
      </c>
      <c r="X301" s="8" t="s">
        <v>3</v>
      </c>
      <c r="Y301" s="7">
        <v>0.15845346192160092</v>
      </c>
      <c r="Z301" s="7">
        <v>1.4959298297557488E-2</v>
      </c>
      <c r="AC301" s="7">
        <f t="shared" si="80"/>
        <v>0.32981497797466552</v>
      </c>
      <c r="AD301" s="7">
        <f t="shared" si="81"/>
        <v>0.31619715213209254</v>
      </c>
      <c r="AE301" s="6" t="s">
        <v>3</v>
      </c>
      <c r="AF301" s="6" t="s">
        <v>3</v>
      </c>
      <c r="AG301" s="6" t="s">
        <v>3</v>
      </c>
      <c r="AH301" s="6" t="s">
        <v>3</v>
      </c>
      <c r="AI301" s="6" t="s">
        <v>3</v>
      </c>
      <c r="AJ301" s="6" t="s">
        <v>3</v>
      </c>
      <c r="AK301" s="5">
        <f t="shared" si="82"/>
        <v>580.10530910802925</v>
      </c>
      <c r="AL301" s="7">
        <f t="shared" si="83"/>
        <v>-0.31485567967710804</v>
      </c>
      <c r="AM301" s="7">
        <f t="shared" si="84"/>
        <v>0.33115645042965003</v>
      </c>
    </row>
    <row r="302" spans="10:39" x14ac:dyDescent="0.25">
      <c r="J302" s="3">
        <v>296</v>
      </c>
      <c r="K302" s="7">
        <v>0.16594726351440414</v>
      </c>
      <c r="L302" s="7">
        <f t="shared" si="74"/>
        <v>9.1126879200224969E-3</v>
      </c>
      <c r="M302" s="7">
        <f t="shared" ca="1" si="69"/>
        <v>-1.938478753214528E-2</v>
      </c>
      <c r="N302" s="7">
        <f t="shared" si="70"/>
        <v>0.16594726351440414</v>
      </c>
      <c r="O302" s="7">
        <v>0.25331279737780021</v>
      </c>
      <c r="P302" s="7">
        <f t="shared" si="71"/>
        <v>1.662399359499922E-2</v>
      </c>
      <c r="Q302" s="7">
        <f t="shared" si="75"/>
        <v>-0.23668880378280099</v>
      </c>
      <c r="R302" s="7">
        <f t="shared" si="72"/>
        <v>-0.31451692175303059</v>
      </c>
      <c r="S302" s="7">
        <f t="shared" si="76"/>
        <v>-4.5426377530466466E-2</v>
      </c>
      <c r="T302" s="7">
        <f t="shared" si="77"/>
        <v>1</v>
      </c>
      <c r="U302" s="7">
        <f t="shared" si="73"/>
        <v>0.32935458005516738</v>
      </c>
      <c r="V302" s="7">
        <f t="shared" si="78"/>
        <v>7.2239693543498804E-3</v>
      </c>
      <c r="W302" s="7">
        <f t="shared" si="79"/>
        <v>0</v>
      </c>
      <c r="X302" s="8" t="s">
        <v>3</v>
      </c>
      <c r="Y302" s="7">
        <v>0.16594726351440414</v>
      </c>
      <c r="Z302" s="7">
        <v>1.662399359499922E-2</v>
      </c>
      <c r="AC302" s="7">
        <f t="shared" si="80"/>
        <v>0.33114091534802981</v>
      </c>
      <c r="AD302" s="7">
        <f t="shared" si="81"/>
        <v>0.31273058646016816</v>
      </c>
      <c r="AE302" s="6" t="s">
        <v>3</v>
      </c>
      <c r="AF302" s="6" t="s">
        <v>3</v>
      </c>
      <c r="AG302" s="6" t="s">
        <v>3</v>
      </c>
      <c r="AH302" s="6" t="s">
        <v>3</v>
      </c>
      <c r="AI302" s="6" t="s">
        <v>3</v>
      </c>
      <c r="AJ302" s="6" t="s">
        <v>3</v>
      </c>
      <c r="AK302" s="5">
        <f t="shared" si="82"/>
        <v>583.87189276566517</v>
      </c>
      <c r="AL302" s="7">
        <f t="shared" si="83"/>
        <v>-0.31451692175303059</v>
      </c>
      <c r="AM302" s="7">
        <f t="shared" si="84"/>
        <v>0.32935458005516738</v>
      </c>
    </row>
    <row r="303" spans="10:39" x14ac:dyDescent="0.25">
      <c r="J303" s="3">
        <v>297</v>
      </c>
      <c r="K303" s="7">
        <v>0.16626983902972725</v>
      </c>
      <c r="L303" s="7">
        <f t="shared" si="74"/>
        <v>9.1787640350972435E-3</v>
      </c>
      <c r="M303" s="7">
        <f t="shared" ca="1" si="69"/>
        <v>-3.5963105402416498E-2</v>
      </c>
      <c r="N303" s="7">
        <f t="shared" si="70"/>
        <v>0.16626983902972725</v>
      </c>
      <c r="O303" s="7">
        <v>7.6525128859139466E-3</v>
      </c>
      <c r="P303" s="7">
        <f t="shared" si="71"/>
        <v>1.6697854665025158E-2</v>
      </c>
      <c r="Q303" s="7">
        <f t="shared" si="75"/>
        <v>9.0453417791112115E-3</v>
      </c>
      <c r="R303" s="7">
        <f t="shared" si="72"/>
        <v>-0.31450195357750399</v>
      </c>
      <c r="S303" s="7">
        <f t="shared" si="76"/>
        <v>-2.5772357317073436E-2</v>
      </c>
      <c r="T303" s="7">
        <f t="shared" si="77"/>
        <v>1</v>
      </c>
      <c r="U303" s="7">
        <f t="shared" si="73"/>
        <v>0.32928504243130385</v>
      </c>
      <c r="V303" s="7">
        <f t="shared" si="78"/>
        <v>3.0555090306812041E-2</v>
      </c>
      <c r="W303" s="7">
        <f t="shared" si="79"/>
        <v>0</v>
      </c>
      <c r="X303" s="8" t="s">
        <v>3</v>
      </c>
      <c r="Y303" s="7">
        <v>0.16626983902972725</v>
      </c>
      <c r="Z303" s="7">
        <v>1.6697854665025158E-2</v>
      </c>
      <c r="AC303" s="7">
        <f t="shared" si="80"/>
        <v>0.33119980824252915</v>
      </c>
      <c r="AD303" s="7">
        <f t="shared" si="81"/>
        <v>0.3125871877662787</v>
      </c>
      <c r="AE303" s="6" t="s">
        <v>3</v>
      </c>
      <c r="AF303" s="6" t="s">
        <v>3</v>
      </c>
      <c r="AG303" s="6" t="s">
        <v>3</v>
      </c>
      <c r="AH303" s="6" t="s">
        <v>3</v>
      </c>
      <c r="AI303" s="6" t="s">
        <v>3</v>
      </c>
      <c r="AJ303" s="6" t="s">
        <v>3</v>
      </c>
      <c r="AK303" s="5">
        <f t="shared" si="82"/>
        <v>584.03402778476368</v>
      </c>
      <c r="AL303" s="7">
        <f t="shared" si="83"/>
        <v>-0.31450195357750399</v>
      </c>
      <c r="AM303" s="7">
        <f t="shared" si="84"/>
        <v>0.32928504243130385</v>
      </c>
    </row>
    <row r="304" spans="10:39" x14ac:dyDescent="0.25">
      <c r="J304" s="3">
        <v>298</v>
      </c>
      <c r="K304" s="7">
        <v>0.16842223794069366</v>
      </c>
      <c r="L304" s="7">
        <f t="shared" si="74"/>
        <v>9.6282976550850514E-3</v>
      </c>
      <c r="M304" s="7">
        <f t="shared" ca="1" si="69"/>
        <v>-9.8779084495697139E-2</v>
      </c>
      <c r="N304" s="7">
        <f t="shared" si="70"/>
        <v>0.16842223794069366</v>
      </c>
      <c r="O304" s="7">
        <v>-1.2410164839902156E-2</v>
      </c>
      <c r="P304" s="7">
        <f t="shared" si="71"/>
        <v>1.7195532485892784E-2</v>
      </c>
      <c r="Q304" s="7">
        <f t="shared" si="75"/>
        <v>2.960569732579494E-2</v>
      </c>
      <c r="R304" s="7">
        <f t="shared" si="72"/>
        <v>-0.31440111917031466</v>
      </c>
      <c r="S304" s="7">
        <f t="shared" si="76"/>
        <v>-2.4159276346433001E-2</v>
      </c>
      <c r="T304" s="7">
        <f t="shared" si="77"/>
        <v>1</v>
      </c>
      <c r="U304" s="7">
        <f t="shared" si="73"/>
        <v>0.32883813583464772</v>
      </c>
      <c r="V304" s="7">
        <f t="shared" si="78"/>
        <v>3.2418588564082237E-2</v>
      </c>
      <c r="W304" s="7">
        <f t="shared" si="79"/>
        <v>0</v>
      </c>
      <c r="X304" s="8" t="s">
        <v>3</v>
      </c>
      <c r="Y304" s="7">
        <v>0.16842223794069366</v>
      </c>
      <c r="Z304" s="7">
        <v>1.7195532485892784E-2</v>
      </c>
      <c r="AC304" s="7">
        <f t="shared" si="80"/>
        <v>0.33159665165620744</v>
      </c>
      <c r="AD304" s="7">
        <f t="shared" si="81"/>
        <v>0.31164260334875493</v>
      </c>
      <c r="AE304" s="6" t="s">
        <v>3</v>
      </c>
      <c r="AF304" s="6" t="s">
        <v>3</v>
      </c>
      <c r="AG304" s="6" t="s">
        <v>3</v>
      </c>
      <c r="AH304" s="6" t="s">
        <v>3</v>
      </c>
      <c r="AI304" s="6" t="s">
        <v>3</v>
      </c>
      <c r="AJ304" s="6" t="s">
        <v>3</v>
      </c>
      <c r="AK304" s="5">
        <f t="shared" si="82"/>
        <v>585.11588062839189</v>
      </c>
      <c r="AL304" s="7">
        <f t="shared" si="83"/>
        <v>-0.31440111917031466</v>
      </c>
      <c r="AM304" s="7">
        <f t="shared" si="84"/>
        <v>0.32883813583464772</v>
      </c>
    </row>
    <row r="305" spans="10:39" x14ac:dyDescent="0.25">
      <c r="J305" s="3">
        <v>299</v>
      </c>
      <c r="K305" s="7">
        <v>0.17126579517697693</v>
      </c>
      <c r="L305" s="7">
        <f t="shared" si="74"/>
        <v>1.024555431384238E-2</v>
      </c>
      <c r="M305" s="7">
        <f t="shared" ca="1" si="69"/>
        <v>0.34697955540933367</v>
      </c>
      <c r="N305" s="7">
        <f t="shared" si="70"/>
        <v>0.17126579517697693</v>
      </c>
      <c r="O305" s="7">
        <v>0.15950606946225215</v>
      </c>
      <c r="P305" s="7">
        <f t="shared" si="71"/>
        <v>1.7866183074707109E-2</v>
      </c>
      <c r="Q305" s="7">
        <f t="shared" si="75"/>
        <v>-0.14163988638754504</v>
      </c>
      <c r="R305" s="7">
        <f t="shared" si="72"/>
        <v>-0.31426514951572226</v>
      </c>
      <c r="S305" s="7">
        <f t="shared" si="76"/>
        <v>-3.7901697518237958E-2</v>
      </c>
      <c r="T305" s="7">
        <f t="shared" si="77"/>
        <v>1</v>
      </c>
      <c r="U305" s="7">
        <f t="shared" si="73"/>
        <v>0.32829347531207631</v>
      </c>
      <c r="V305" s="7">
        <f t="shared" si="78"/>
        <v>1.6034803555733296E-2</v>
      </c>
      <c r="W305" s="7">
        <f t="shared" si="79"/>
        <v>0</v>
      </c>
      <c r="X305" s="8" t="s">
        <v>3</v>
      </c>
      <c r="Y305" s="7">
        <v>0.17126579517697693</v>
      </c>
      <c r="Z305" s="7">
        <v>1.7866183074707109E-2</v>
      </c>
      <c r="AC305" s="7">
        <f t="shared" si="80"/>
        <v>0.33213133259042937</v>
      </c>
      <c r="AD305" s="7">
        <f t="shared" si="81"/>
        <v>0.3104272922373692</v>
      </c>
      <c r="AE305" s="6" t="s">
        <v>3</v>
      </c>
      <c r="AF305" s="6" t="s">
        <v>3</v>
      </c>
      <c r="AG305" s="6" t="s">
        <v>3</v>
      </c>
      <c r="AH305" s="6" t="s">
        <v>3</v>
      </c>
      <c r="AI305" s="6" t="s">
        <v>3</v>
      </c>
      <c r="AJ305" s="6" t="s">
        <v>3</v>
      </c>
      <c r="AK305" s="5">
        <f t="shared" si="82"/>
        <v>586.54512799811448</v>
      </c>
      <c r="AL305" s="7">
        <f t="shared" si="83"/>
        <v>-0.31426514951572226</v>
      </c>
      <c r="AM305" s="7">
        <f t="shared" si="84"/>
        <v>0.32829347531207631</v>
      </c>
    </row>
    <row r="306" spans="10:39" x14ac:dyDescent="0.25">
      <c r="J306" s="3">
        <v>300</v>
      </c>
      <c r="K306" s="7">
        <v>0.17663545437829886</v>
      </c>
      <c r="L306" s="7">
        <f t="shared" si="74"/>
        <v>1.1485744746294531E-2</v>
      </c>
      <c r="M306" s="7">
        <f t="shared" ca="1" si="69"/>
        <v>-1.7717895243607354E-2</v>
      </c>
      <c r="N306" s="7">
        <f t="shared" si="70"/>
        <v>0.17663545437829886</v>
      </c>
      <c r="O306" s="7">
        <v>-3.6629821144922178E-2</v>
      </c>
      <c r="P306" s="7">
        <f t="shared" si="71"/>
        <v>1.9175105753083788E-2</v>
      </c>
      <c r="Q306" s="7">
        <f t="shared" si="75"/>
        <v>5.5804926898005966E-2</v>
      </c>
      <c r="R306" s="7">
        <f t="shared" si="72"/>
        <v>-0.31399864137143574</v>
      </c>
      <c r="S306" s="7">
        <f t="shared" si="76"/>
        <v>-2.2189505618121084E-2</v>
      </c>
      <c r="T306" s="7">
        <f t="shared" si="77"/>
        <v>1</v>
      </c>
      <c r="U306" s="7">
        <f t="shared" si="73"/>
        <v>0.32740814642289484</v>
      </c>
      <c r="V306" s="7">
        <f t="shared" si="78"/>
        <v>3.4583606918942619E-2</v>
      </c>
      <c r="W306" s="7">
        <f t="shared" si="79"/>
        <v>0</v>
      </c>
      <c r="X306" s="8" t="s">
        <v>3</v>
      </c>
      <c r="Y306" s="7">
        <v>0.17663545437829886</v>
      </c>
      <c r="Z306" s="7">
        <v>1.9175105753083788E-2</v>
      </c>
      <c r="AC306" s="7">
        <f t="shared" si="80"/>
        <v>0.33317374712451953</v>
      </c>
      <c r="AD306" s="7">
        <f t="shared" si="81"/>
        <v>0.30823304066981105</v>
      </c>
      <c r="AE306" s="6" t="s">
        <v>3</v>
      </c>
      <c r="AF306" s="6" t="s">
        <v>3</v>
      </c>
      <c r="AG306" s="6" t="s">
        <v>3</v>
      </c>
      <c r="AH306" s="6" t="s">
        <v>3</v>
      </c>
      <c r="AI306" s="6" t="s">
        <v>3</v>
      </c>
      <c r="AJ306" s="6" t="s">
        <v>3</v>
      </c>
      <c r="AK306" s="5">
        <f t="shared" si="82"/>
        <v>589.24406128908879</v>
      </c>
      <c r="AL306" s="7">
        <f t="shared" si="83"/>
        <v>-0.31399864137143574</v>
      </c>
      <c r="AM306" s="7">
        <f t="shared" si="84"/>
        <v>0.32740814642289484</v>
      </c>
    </row>
    <row r="307" spans="10:39" x14ac:dyDescent="0.25">
      <c r="J307" s="3">
        <v>301</v>
      </c>
      <c r="K307" s="7">
        <v>0.17773656250660808</v>
      </c>
      <c r="L307" s="7">
        <f t="shared" si="74"/>
        <v>1.175240180740451E-2</v>
      </c>
      <c r="M307" s="7">
        <f t="shared" ca="1" si="69"/>
        <v>7.4713590504874153E-2</v>
      </c>
      <c r="N307" s="7">
        <f t="shared" si="70"/>
        <v>0.17773656250660808</v>
      </c>
      <c r="O307" s="7">
        <v>5.1633350961188137E-2</v>
      </c>
      <c r="P307" s="7">
        <f t="shared" si="71"/>
        <v>1.9450620448095535E-2</v>
      </c>
      <c r="Q307" s="7">
        <f t="shared" si="75"/>
        <v>-3.2182730513092603E-2</v>
      </c>
      <c r="R307" s="7">
        <f t="shared" si="72"/>
        <v>-0.31394224554350281</v>
      </c>
      <c r="S307" s="7">
        <f t="shared" si="76"/>
        <v>-2.9246047720375278E-2</v>
      </c>
      <c r="T307" s="7">
        <f t="shared" si="77"/>
        <v>1</v>
      </c>
      <c r="U307" s="7">
        <f t="shared" si="73"/>
        <v>0.32724990337630055</v>
      </c>
      <c r="V307" s="7">
        <f t="shared" si="78"/>
        <v>2.6183572479435677E-2</v>
      </c>
      <c r="W307" s="7">
        <f t="shared" si="79"/>
        <v>0</v>
      </c>
      <c r="X307" s="8" t="s">
        <v>3</v>
      </c>
      <c r="Y307" s="7">
        <v>0.17773656250660808</v>
      </c>
      <c r="Z307" s="7">
        <v>1.9450620448095535E-2</v>
      </c>
      <c r="AC307" s="7">
        <f t="shared" si="80"/>
        <v>0.33339286599159834</v>
      </c>
      <c r="AD307" s="7">
        <f t="shared" si="81"/>
        <v>0.30779928292820502</v>
      </c>
      <c r="AE307" s="6" t="s">
        <v>3</v>
      </c>
      <c r="AF307" s="6" t="s">
        <v>3</v>
      </c>
      <c r="AG307" s="6" t="s">
        <v>3</v>
      </c>
      <c r="AH307" s="6" t="s">
        <v>3</v>
      </c>
      <c r="AI307" s="6" t="s">
        <v>3</v>
      </c>
      <c r="AJ307" s="6" t="s">
        <v>3</v>
      </c>
      <c r="AK307" s="5">
        <f t="shared" si="82"/>
        <v>589.79750747124592</v>
      </c>
      <c r="AL307" s="7">
        <f t="shared" si="83"/>
        <v>-0.31394224554350281</v>
      </c>
      <c r="AM307" s="7">
        <f t="shared" si="84"/>
        <v>0.32724990337630055</v>
      </c>
    </row>
    <row r="308" spans="10:39" x14ac:dyDescent="0.25">
      <c r="J308" s="3">
        <v>302</v>
      </c>
      <c r="K308" s="7">
        <v>0.17820434005089636</v>
      </c>
      <c r="L308" s="7">
        <f t="shared" si="74"/>
        <v>1.1866977740040313E-2</v>
      </c>
      <c r="M308" s="7">
        <f t="shared" ca="1" si="69"/>
        <v>0.29211637783953737</v>
      </c>
      <c r="N308" s="7">
        <f t="shared" si="70"/>
        <v>0.17820434005089636</v>
      </c>
      <c r="O308" s="7">
        <v>0.32211936109798833</v>
      </c>
      <c r="P308" s="7">
        <f t="shared" si="71"/>
        <v>1.9568416388834553E-2</v>
      </c>
      <c r="Q308" s="7">
        <f t="shared" si="75"/>
        <v>-0.30255094470915378</v>
      </c>
      <c r="R308" s="7">
        <f t="shared" si="72"/>
        <v>-0.31391809453440978</v>
      </c>
      <c r="S308" s="7">
        <f t="shared" si="76"/>
        <v>-5.0882996450591848E-2</v>
      </c>
      <c r="T308" s="7">
        <f t="shared" si="77"/>
        <v>1</v>
      </c>
      <c r="U308" s="7">
        <f t="shared" si="73"/>
        <v>0.32718509157160014</v>
      </c>
      <c r="V308" s="7">
        <f t="shared" si="78"/>
        <v>4.8124439499312168E-4</v>
      </c>
      <c r="W308" s="7">
        <f t="shared" si="79"/>
        <v>0</v>
      </c>
      <c r="X308" s="8" t="s">
        <v>3</v>
      </c>
      <c r="Y308" s="7">
        <v>0.17820434005089636</v>
      </c>
      <c r="Z308" s="7">
        <v>1.9568416388834553E-2</v>
      </c>
      <c r="AC308" s="7">
        <f t="shared" si="80"/>
        <v>0.33348651092324433</v>
      </c>
      <c r="AD308" s="7">
        <f t="shared" si="81"/>
        <v>0.30761667518276559</v>
      </c>
      <c r="AE308" s="6" t="s">
        <v>3</v>
      </c>
      <c r="AF308" s="6" t="s">
        <v>3</v>
      </c>
      <c r="AG308" s="6" t="s">
        <v>3</v>
      </c>
      <c r="AH308" s="6" t="s">
        <v>3</v>
      </c>
      <c r="AI308" s="6" t="s">
        <v>3</v>
      </c>
      <c r="AJ308" s="6" t="s">
        <v>3</v>
      </c>
      <c r="AK308" s="5">
        <f t="shared" si="82"/>
        <v>590.03262488553901</v>
      </c>
      <c r="AL308" s="7">
        <f t="shared" si="83"/>
        <v>-0.31391809453440978</v>
      </c>
      <c r="AM308" s="7">
        <f t="shared" si="84"/>
        <v>0.32718509157160014</v>
      </c>
    </row>
    <row r="309" spans="10:39" x14ac:dyDescent="0.25">
      <c r="J309" s="3">
        <v>303</v>
      </c>
      <c r="K309" s="7">
        <v>0.19007871963265921</v>
      </c>
      <c r="L309" s="7">
        <f t="shared" si="74"/>
        <v>1.5042226040881925E-2</v>
      </c>
      <c r="M309" s="7">
        <f t="shared" ca="1" si="69"/>
        <v>-0.1522576754857568</v>
      </c>
      <c r="N309" s="7">
        <f t="shared" si="70"/>
        <v>0.19007871963265921</v>
      </c>
      <c r="O309" s="7">
        <v>-0.20875226925254192</v>
      </c>
      <c r="P309" s="7">
        <f t="shared" si="71"/>
        <v>2.2715913761601314E-2</v>
      </c>
      <c r="Q309" s="7">
        <f t="shared" si="75"/>
        <v>0.23146818301414324</v>
      </c>
      <c r="R309" s="7">
        <f t="shared" si="72"/>
        <v>-0.31326167030475904</v>
      </c>
      <c r="S309" s="7">
        <f t="shared" si="76"/>
        <v>-8.3607520841773707E-3</v>
      </c>
      <c r="T309" s="7">
        <f t="shared" si="77"/>
        <v>1</v>
      </c>
      <c r="U309" s="7">
        <f t="shared" si="73"/>
        <v>0.3260273514026788</v>
      </c>
      <c r="V309" s="7">
        <f t="shared" si="78"/>
        <v>5.0804063962245967E-2</v>
      </c>
      <c r="W309" s="7">
        <f t="shared" si="79"/>
        <v>0</v>
      </c>
      <c r="X309" s="8" t="s">
        <v>3</v>
      </c>
      <c r="Y309" s="7">
        <v>0.19007871963265921</v>
      </c>
      <c r="Z309" s="7">
        <v>2.2715913761601314E-2</v>
      </c>
      <c r="AC309" s="7">
        <f t="shared" si="80"/>
        <v>0.33597758406636036</v>
      </c>
      <c r="AD309" s="7">
        <f t="shared" si="81"/>
        <v>0.30331143764107749</v>
      </c>
      <c r="AE309" s="6" t="s">
        <v>3</v>
      </c>
      <c r="AF309" s="6" t="s">
        <v>3</v>
      </c>
      <c r="AG309" s="6" t="s">
        <v>3</v>
      </c>
      <c r="AH309" s="6" t="s">
        <v>3</v>
      </c>
      <c r="AI309" s="6" t="s">
        <v>3</v>
      </c>
      <c r="AJ309" s="6" t="s">
        <v>3</v>
      </c>
      <c r="AK309" s="5">
        <f t="shared" si="82"/>
        <v>596.001003354511</v>
      </c>
      <c r="AL309" s="7">
        <f t="shared" si="83"/>
        <v>-0.31326167030475904</v>
      </c>
      <c r="AM309" s="7">
        <f t="shared" si="84"/>
        <v>0.3260273514026788</v>
      </c>
    </row>
    <row r="310" spans="10:39" x14ac:dyDescent="0.25">
      <c r="J310" s="3">
        <v>304</v>
      </c>
      <c r="K310" s="7">
        <v>0.19335472428726308</v>
      </c>
      <c r="L310" s="7">
        <f t="shared" si="74"/>
        <v>1.601186143290571E-2</v>
      </c>
      <c r="M310" s="7">
        <f t="shared" ca="1" si="69"/>
        <v>-3.4041720859309288E-2</v>
      </c>
      <c r="N310" s="7">
        <f t="shared" si="70"/>
        <v>0.19335472428726308</v>
      </c>
      <c r="O310" s="7">
        <v>5.3654388654222618E-3</v>
      </c>
      <c r="P310" s="7">
        <f t="shared" si="71"/>
        <v>2.3640498190280912E-2</v>
      </c>
      <c r="Q310" s="7">
        <f t="shared" si="75"/>
        <v>1.827505932485865E-2</v>
      </c>
      <c r="R310" s="7">
        <f t="shared" si="72"/>
        <v>-0.31306400309036508</v>
      </c>
      <c r="S310" s="7">
        <f t="shared" si="76"/>
        <v>-2.5474355356462992E-2</v>
      </c>
      <c r="T310" s="7">
        <f t="shared" si="77"/>
        <v>1</v>
      </c>
      <c r="U310" s="7">
        <f t="shared" si="73"/>
        <v>0.32587532047218115</v>
      </c>
      <c r="V310" s="7">
        <f t="shared" si="78"/>
        <v>3.0448438752642092E-2</v>
      </c>
      <c r="W310" s="7">
        <f t="shared" si="79"/>
        <v>0</v>
      </c>
      <c r="X310" s="8" t="s">
        <v>3</v>
      </c>
      <c r="Y310" s="7">
        <v>0.19335472428726308</v>
      </c>
      <c r="Z310" s="7">
        <v>2.3640498190280912E-2</v>
      </c>
      <c r="AC310" s="7">
        <f t="shared" si="80"/>
        <v>0.336704501280646</v>
      </c>
      <c r="AD310" s="7">
        <f t="shared" si="81"/>
        <v>0.30223482228190024</v>
      </c>
      <c r="AE310" s="6" t="s">
        <v>3</v>
      </c>
      <c r="AF310" s="6" t="s">
        <v>3</v>
      </c>
      <c r="AG310" s="6" t="s">
        <v>3</v>
      </c>
      <c r="AH310" s="6" t="s">
        <v>3</v>
      </c>
      <c r="AI310" s="6" t="s">
        <v>3</v>
      </c>
      <c r="AJ310" s="6" t="s">
        <v>3</v>
      </c>
      <c r="AK310" s="5">
        <f t="shared" si="82"/>
        <v>597.64761027912198</v>
      </c>
      <c r="AL310" s="7">
        <f t="shared" si="83"/>
        <v>-0.31306400309036508</v>
      </c>
      <c r="AM310" s="7">
        <f t="shared" si="84"/>
        <v>0.32587532047218115</v>
      </c>
    </row>
    <row r="311" spans="10:39" x14ac:dyDescent="0.25">
      <c r="J311" s="3">
        <v>305</v>
      </c>
      <c r="K311" s="7">
        <v>0.19821300903640382</v>
      </c>
      <c r="L311" s="7">
        <f t="shared" si="74"/>
        <v>1.7527627420742976E-2</v>
      </c>
      <c r="M311" s="7">
        <f t="shared" ca="1" si="69"/>
        <v>5.7696705245007307E-2</v>
      </c>
      <c r="N311" s="7">
        <f t="shared" si="70"/>
        <v>0.19821300903640382</v>
      </c>
      <c r="O311" s="7">
        <v>7.604429371308348E-3</v>
      </c>
      <c r="P311" s="7">
        <f t="shared" si="71"/>
        <v>2.5059490932364703E-2</v>
      </c>
      <c r="Q311" s="7">
        <f t="shared" si="75"/>
        <v>1.7455061561056355E-2</v>
      </c>
      <c r="R311" s="7">
        <f t="shared" si="72"/>
        <v>-0.31275579157868005</v>
      </c>
      <c r="S311" s="7">
        <f t="shared" si="76"/>
        <v>-2.5628817675999071E-2</v>
      </c>
      <c r="T311" s="7">
        <f t="shared" si="77"/>
        <v>1</v>
      </c>
      <c r="U311" s="7">
        <f t="shared" si="73"/>
        <v>0.32578564381298092</v>
      </c>
      <c r="V311" s="7">
        <f t="shared" si="78"/>
        <v>3.0227215371958896E-2</v>
      </c>
      <c r="W311" s="7">
        <f t="shared" si="79"/>
        <v>0</v>
      </c>
      <c r="X311" s="8" t="s">
        <v>3</v>
      </c>
      <c r="Y311" s="7">
        <v>0.19821300903640382</v>
      </c>
      <c r="Z311" s="7">
        <v>2.5059490932364703E-2</v>
      </c>
      <c r="AC311" s="7">
        <f t="shared" si="80"/>
        <v>0.33781528251104476</v>
      </c>
      <c r="AD311" s="7">
        <f t="shared" si="81"/>
        <v>0.30072615288061622</v>
      </c>
      <c r="AE311" s="6" t="s">
        <v>3</v>
      </c>
      <c r="AF311" s="6" t="s">
        <v>3</v>
      </c>
      <c r="AG311" s="6" t="s">
        <v>3</v>
      </c>
      <c r="AH311" s="6" t="s">
        <v>3</v>
      </c>
      <c r="AI311" s="6" t="s">
        <v>3</v>
      </c>
      <c r="AJ311" s="6" t="s">
        <v>3</v>
      </c>
      <c r="AK311" s="5">
        <f t="shared" si="82"/>
        <v>600.08951319230141</v>
      </c>
      <c r="AL311" s="7">
        <f t="shared" si="83"/>
        <v>-0.31275579157868005</v>
      </c>
      <c r="AM311" s="7">
        <f t="shared" si="84"/>
        <v>0.32578564381298092</v>
      </c>
    </row>
    <row r="312" spans="10:39" x14ac:dyDescent="0.25">
      <c r="J312" s="3">
        <v>306</v>
      </c>
      <c r="K312" s="7">
        <v>0.20017376211868454</v>
      </c>
      <c r="L312" s="7">
        <f t="shared" si="74"/>
        <v>1.8166240297397964E-2</v>
      </c>
      <c r="M312" s="7">
        <f t="shared" ca="1" si="69"/>
        <v>-0.12950176668443</v>
      </c>
      <c r="N312" s="7">
        <f t="shared" si="70"/>
        <v>0.20017376211868454</v>
      </c>
      <c r="O312" s="7">
        <v>3.4177230393502359E-4</v>
      </c>
      <c r="P312" s="7">
        <f t="shared" si="71"/>
        <v>2.5648902105982252E-2</v>
      </c>
      <c r="Q312" s="7">
        <f t="shared" si="75"/>
        <v>2.5307129802047228E-2</v>
      </c>
      <c r="R312" s="7">
        <f t="shared" si="72"/>
        <v>-0.31262598572756151</v>
      </c>
      <c r="S312" s="7">
        <f t="shared" si="76"/>
        <v>-2.5037420642519723E-2</v>
      </c>
      <c r="T312" s="7">
        <f t="shared" si="77"/>
        <v>1</v>
      </c>
      <c r="U312" s="7">
        <f t="shared" si="73"/>
        <v>0.32579585928341803</v>
      </c>
      <c r="V312" s="7">
        <f t="shared" si="78"/>
        <v>3.0918138263050888E-2</v>
      </c>
      <c r="W312" s="7">
        <f t="shared" si="79"/>
        <v>0</v>
      </c>
      <c r="X312" s="8" t="s">
        <v>3</v>
      </c>
      <c r="Y312" s="7">
        <v>0.20017376211868454</v>
      </c>
      <c r="Z312" s="7">
        <v>2.5648902105982252E-2</v>
      </c>
      <c r="AC312" s="7">
        <f t="shared" si="80"/>
        <v>0.33827488783354376</v>
      </c>
      <c r="AD312" s="7">
        <f t="shared" si="81"/>
        <v>0.30014695717743578</v>
      </c>
      <c r="AE312" s="6" t="s">
        <v>3</v>
      </c>
      <c r="AF312" s="6" t="s">
        <v>3</v>
      </c>
      <c r="AG312" s="6" t="s">
        <v>3</v>
      </c>
      <c r="AH312" s="6" t="s">
        <v>3</v>
      </c>
      <c r="AI312" s="6" t="s">
        <v>3</v>
      </c>
      <c r="AJ312" s="6" t="s">
        <v>3</v>
      </c>
      <c r="AK312" s="5">
        <f t="shared" si="82"/>
        <v>601.07503975380928</v>
      </c>
      <c r="AL312" s="7">
        <f t="shared" si="83"/>
        <v>-0.31262598572756151</v>
      </c>
      <c r="AM312" s="7">
        <f t="shared" si="84"/>
        <v>0.32579585928341803</v>
      </c>
    </row>
    <row r="313" spans="10:39" x14ac:dyDescent="0.25">
      <c r="J313" s="3">
        <v>307</v>
      </c>
      <c r="K313" s="7">
        <v>0.20149770839516101</v>
      </c>
      <c r="L313" s="7">
        <f t="shared" si="74"/>
        <v>1.8606324411674018E-2</v>
      </c>
      <c r="M313" s="7">
        <f t="shared" ca="1" si="69"/>
        <v>-0.2586534339489609</v>
      </c>
      <c r="N313" s="7">
        <f t="shared" si="70"/>
        <v>0.20149770839516101</v>
      </c>
      <c r="O313" s="7">
        <v>0.1221996032673927</v>
      </c>
      <c r="P313" s="7">
        <f t="shared" si="71"/>
        <v>2.6052465837254513E-2</v>
      </c>
      <c r="Q313" s="7">
        <f t="shared" si="75"/>
        <v>-9.6147137430138183E-2</v>
      </c>
      <c r="R313" s="7">
        <f t="shared" si="72"/>
        <v>-0.31253649446391307</v>
      </c>
      <c r="S313" s="7">
        <f t="shared" si="76"/>
        <v>-3.477888781850446E-2</v>
      </c>
      <c r="T313" s="7">
        <f t="shared" si="77"/>
        <v>1</v>
      </c>
      <c r="U313" s="7">
        <f t="shared" si="73"/>
        <v>0.3258179799621912</v>
      </c>
      <c r="V313" s="7">
        <f t="shared" si="78"/>
        <v>1.9343745786005857E-2</v>
      </c>
      <c r="W313" s="7">
        <f t="shared" si="79"/>
        <v>0</v>
      </c>
      <c r="X313" s="8" t="s">
        <v>3</v>
      </c>
      <c r="Y313" s="7">
        <v>0.20149770839516101</v>
      </c>
      <c r="Z313" s="7">
        <v>2.6052465837254513E-2</v>
      </c>
      <c r="AC313" s="7">
        <f t="shared" si="80"/>
        <v>0.33858896030116759</v>
      </c>
      <c r="AD313" s="7">
        <f t="shared" si="81"/>
        <v>0.29976551412493668</v>
      </c>
      <c r="AE313" s="6" t="s">
        <v>3</v>
      </c>
      <c r="AF313" s="6" t="s">
        <v>3</v>
      </c>
      <c r="AG313" s="6" t="s">
        <v>3</v>
      </c>
      <c r="AH313" s="6" t="s">
        <v>3</v>
      </c>
      <c r="AI313" s="6" t="s">
        <v>3</v>
      </c>
      <c r="AJ313" s="6" t="s">
        <v>3</v>
      </c>
      <c r="AK313" s="5">
        <f t="shared" si="82"/>
        <v>601.74049030608353</v>
      </c>
      <c r="AL313" s="7">
        <f t="shared" si="83"/>
        <v>-0.31253649446391307</v>
      </c>
      <c r="AM313" s="7">
        <f t="shared" si="84"/>
        <v>0.3258179799621912</v>
      </c>
    </row>
    <row r="314" spans="10:39" x14ac:dyDescent="0.25">
      <c r="J314" s="3">
        <v>308</v>
      </c>
      <c r="K314" s="7">
        <v>0.20296834178736245</v>
      </c>
      <c r="L314" s="7">
        <f t="shared" si="74"/>
        <v>1.9103633745459338E-2</v>
      </c>
      <c r="M314" s="7">
        <f t="shared" ca="1" si="69"/>
        <v>0.16681924341911009</v>
      </c>
      <c r="N314" s="7">
        <f t="shared" si="70"/>
        <v>0.20296834178736245</v>
      </c>
      <c r="O314" s="7">
        <v>-0.29490599829293296</v>
      </c>
      <c r="P314" s="7">
        <f t="shared" si="71"/>
        <v>2.6506093907684214E-2</v>
      </c>
      <c r="Q314" s="7">
        <f t="shared" si="75"/>
        <v>0.32141209220061717</v>
      </c>
      <c r="R314" s="7">
        <f t="shared" si="72"/>
        <v>-0.31243530085182236</v>
      </c>
      <c r="S314" s="7">
        <f t="shared" si="76"/>
        <v>-1.4023442047111524E-3</v>
      </c>
      <c r="T314" s="7">
        <f t="shared" si="77"/>
        <v>1</v>
      </c>
      <c r="U314" s="7">
        <f t="shared" si="73"/>
        <v>0.32585701183151228</v>
      </c>
      <c r="V314" s="7">
        <f t="shared" si="78"/>
        <v>5.89724859618223E-2</v>
      </c>
      <c r="W314" s="7">
        <f t="shared" si="79"/>
        <v>0</v>
      </c>
      <c r="X314" s="8" t="s">
        <v>3</v>
      </c>
      <c r="Y314" s="7">
        <v>0.20296834178736245</v>
      </c>
      <c r="Z314" s="7">
        <v>2.6506093907684214E-2</v>
      </c>
      <c r="AC314" s="7">
        <f t="shared" si="80"/>
        <v>0.33894139475950658</v>
      </c>
      <c r="AD314" s="7">
        <f t="shared" si="81"/>
        <v>0.29935091792382806</v>
      </c>
      <c r="AE314" s="6" t="s">
        <v>3</v>
      </c>
      <c r="AF314" s="6" t="s">
        <v>3</v>
      </c>
      <c r="AG314" s="6" t="s">
        <v>3</v>
      </c>
      <c r="AH314" s="6" t="s">
        <v>3</v>
      </c>
      <c r="AI314" s="6" t="s">
        <v>3</v>
      </c>
      <c r="AJ314" s="6" t="s">
        <v>3</v>
      </c>
      <c r="AK314" s="5">
        <f t="shared" si="82"/>
        <v>602.47966969759011</v>
      </c>
      <c r="AL314" s="7">
        <f t="shared" si="83"/>
        <v>-0.31243530085182236</v>
      </c>
      <c r="AM314" s="7">
        <f t="shared" si="84"/>
        <v>0.32585701183151228</v>
      </c>
    </row>
    <row r="315" spans="10:39" x14ac:dyDescent="0.25">
      <c r="J315" s="3">
        <v>309</v>
      </c>
      <c r="K315" s="7">
        <v>0.20410275872597849</v>
      </c>
      <c r="L315" s="7">
        <f t="shared" si="74"/>
        <v>1.9493380411136858E-2</v>
      </c>
      <c r="M315" s="7">
        <f t="shared" ca="1" si="69"/>
        <v>-0.17206787612507327</v>
      </c>
      <c r="N315" s="7">
        <f t="shared" si="70"/>
        <v>0.20410275872597849</v>
      </c>
      <c r="O315" s="7">
        <v>0.12321173238881697</v>
      </c>
      <c r="P315" s="7">
        <f t="shared" si="71"/>
        <v>2.6859908167032653E-2</v>
      </c>
      <c r="Q315" s="7">
        <f t="shared" si="75"/>
        <v>-9.6351824221784316E-2</v>
      </c>
      <c r="R315" s="7">
        <f t="shared" si="72"/>
        <v>-0.31235593034451803</v>
      </c>
      <c r="S315" s="7">
        <f t="shared" si="76"/>
        <v>-3.4845413018666803E-2</v>
      </c>
      <c r="T315" s="7">
        <f t="shared" si="77"/>
        <v>1</v>
      </c>
      <c r="U315" s="7">
        <f t="shared" si="73"/>
        <v>0.32589756309945672</v>
      </c>
      <c r="V315" s="7">
        <f t="shared" si="78"/>
        <v>1.9255153917510776E-2</v>
      </c>
      <c r="W315" s="7">
        <f t="shared" si="79"/>
        <v>0</v>
      </c>
      <c r="X315" s="8" t="s">
        <v>3</v>
      </c>
      <c r="Y315" s="7">
        <v>0.20410275872597849</v>
      </c>
      <c r="Z315" s="7">
        <v>2.6859908167032653E-2</v>
      </c>
      <c r="AC315" s="7">
        <f t="shared" si="80"/>
        <v>0.33921583851155068</v>
      </c>
      <c r="AD315" s="7">
        <f t="shared" si="81"/>
        <v>0.29903765493242407</v>
      </c>
      <c r="AE315" s="6" t="s">
        <v>3</v>
      </c>
      <c r="AF315" s="6" t="s">
        <v>3</v>
      </c>
      <c r="AG315" s="6" t="s">
        <v>3</v>
      </c>
      <c r="AH315" s="6" t="s">
        <v>3</v>
      </c>
      <c r="AI315" s="6" t="s">
        <v>3</v>
      </c>
      <c r="AJ315" s="6" t="s">
        <v>3</v>
      </c>
      <c r="AK315" s="5">
        <f t="shared" si="82"/>
        <v>603.04985777223044</v>
      </c>
      <c r="AL315" s="7">
        <f t="shared" si="83"/>
        <v>-0.31235593034451803</v>
      </c>
      <c r="AM315" s="7">
        <f t="shared" si="84"/>
        <v>0.32589756309945672</v>
      </c>
    </row>
    <row r="316" spans="10:39" x14ac:dyDescent="0.25">
      <c r="J316" s="3">
        <v>310</v>
      </c>
      <c r="K316" s="7">
        <v>0.21416359564429444</v>
      </c>
      <c r="L316" s="7">
        <f t="shared" si="74"/>
        <v>2.3189025193266814E-2</v>
      </c>
      <c r="M316" s="7">
        <f t="shared" ca="1" si="69"/>
        <v>0.14131643148272116</v>
      </c>
      <c r="N316" s="7">
        <f t="shared" si="70"/>
        <v>0.21416359564429444</v>
      </c>
      <c r="O316" s="7">
        <v>6.3434009421410198E-2</v>
      </c>
      <c r="P316" s="7">
        <f t="shared" si="71"/>
        <v>3.0152024273477629E-2</v>
      </c>
      <c r="Q316" s="7">
        <f t="shared" si="75"/>
        <v>-3.3281985147932569E-2</v>
      </c>
      <c r="R316" s="7">
        <f t="shared" si="72"/>
        <v>-0.31159874225228368</v>
      </c>
      <c r="S316" s="7">
        <f t="shared" si="76"/>
        <v>-3.000262013389551E-2</v>
      </c>
      <c r="T316" s="7">
        <f t="shared" si="77"/>
        <v>1</v>
      </c>
      <c r="U316" s="7">
        <f t="shared" si="73"/>
        <v>0.32666107262175759</v>
      </c>
      <c r="V316" s="7">
        <f t="shared" si="78"/>
        <v>2.5006571004033001E-2</v>
      </c>
      <c r="W316" s="7">
        <f t="shared" si="79"/>
        <v>0</v>
      </c>
      <c r="X316" s="8" t="s">
        <v>3</v>
      </c>
      <c r="Y316" s="7">
        <v>0.21416359564429444</v>
      </c>
      <c r="Z316" s="7">
        <v>3.0152024273477629E-2</v>
      </c>
      <c r="AC316" s="7">
        <f t="shared" si="80"/>
        <v>0.34175076652576131</v>
      </c>
      <c r="AD316" s="7">
        <f t="shared" si="81"/>
        <v>0.29650904834827996</v>
      </c>
      <c r="AE316" s="6" t="s">
        <v>3</v>
      </c>
      <c r="AF316" s="6" t="s">
        <v>3</v>
      </c>
      <c r="AG316" s="6" t="s">
        <v>3</v>
      </c>
      <c r="AH316" s="6" t="s">
        <v>3</v>
      </c>
      <c r="AI316" s="6" t="s">
        <v>3</v>
      </c>
      <c r="AJ316" s="6" t="s">
        <v>3</v>
      </c>
      <c r="AK316" s="5">
        <f t="shared" si="82"/>
        <v>608.10670154496415</v>
      </c>
      <c r="AL316" s="7">
        <f t="shared" si="83"/>
        <v>-0.31159874225228368</v>
      </c>
      <c r="AM316" s="7">
        <f t="shared" si="84"/>
        <v>0.32666107262175759</v>
      </c>
    </row>
    <row r="317" spans="10:39" x14ac:dyDescent="0.25">
      <c r="J317" s="3">
        <v>311</v>
      </c>
      <c r="K317" s="7">
        <v>0.2177899466197093</v>
      </c>
      <c r="L317" s="7">
        <f t="shared" si="74"/>
        <v>2.4629134850860202E-2</v>
      </c>
      <c r="M317" s="7">
        <f t="shared" ca="1" si="69"/>
        <v>0.31199773652022644</v>
      </c>
      <c r="N317" s="7">
        <f t="shared" si="70"/>
        <v>0.2177899466197093</v>
      </c>
      <c r="O317" s="7">
        <v>-0.17157997932942765</v>
      </c>
      <c r="P317" s="7">
        <f t="shared" si="71"/>
        <v>3.1409622354023004E-2</v>
      </c>
      <c r="Q317" s="7">
        <f t="shared" si="75"/>
        <v>0.20298960168345065</v>
      </c>
      <c r="R317" s="7">
        <f t="shared" si="72"/>
        <v>-0.31130065456146649</v>
      </c>
      <c r="S317" s="7">
        <f t="shared" si="76"/>
        <v>-1.1177654018563108E-2</v>
      </c>
      <c r="T317" s="7">
        <f t="shared" si="77"/>
        <v>1</v>
      </c>
      <c r="U317" s="7">
        <f t="shared" si="73"/>
        <v>0.32711747781718215</v>
      </c>
      <c r="V317" s="7">
        <f t="shared" si="78"/>
        <v>4.7376258428927932E-2</v>
      </c>
      <c r="W317" s="7">
        <f t="shared" si="79"/>
        <v>0</v>
      </c>
      <c r="X317" s="8" t="s">
        <v>3</v>
      </c>
      <c r="Y317" s="7">
        <v>0.2177899466197093</v>
      </c>
      <c r="Z317" s="7">
        <v>3.1409622354023004E-2</v>
      </c>
      <c r="AC317" s="7">
        <f t="shared" si="80"/>
        <v>0.3427102769154895</v>
      </c>
      <c r="AD317" s="7">
        <f t="shared" si="81"/>
        <v>0.29570785546315914</v>
      </c>
      <c r="AE317" s="6" t="s">
        <v>3</v>
      </c>
      <c r="AF317" s="6" t="s">
        <v>3</v>
      </c>
      <c r="AG317" s="6" t="s">
        <v>3</v>
      </c>
      <c r="AH317" s="6" t="s">
        <v>3</v>
      </c>
      <c r="AI317" s="6" t="s">
        <v>3</v>
      </c>
      <c r="AJ317" s="6" t="s">
        <v>3</v>
      </c>
      <c r="AK317" s="5">
        <f t="shared" si="82"/>
        <v>609.9294018328884</v>
      </c>
      <c r="AL317" s="7">
        <f t="shared" si="83"/>
        <v>-0.31130065456146649</v>
      </c>
      <c r="AM317" s="7">
        <f t="shared" si="84"/>
        <v>0.32711747781718215</v>
      </c>
    </row>
    <row r="318" spans="10:39" x14ac:dyDescent="0.25">
      <c r="J318" s="3">
        <v>312</v>
      </c>
      <c r="K318" s="7">
        <v>0.21960003919754989</v>
      </c>
      <c r="L318" s="7">
        <f t="shared" si="74"/>
        <v>2.5369923877207476E-2</v>
      </c>
      <c r="M318" s="7">
        <f t="shared" ca="1" si="69"/>
        <v>-2.2384882589670835E-2</v>
      </c>
      <c r="N318" s="7">
        <f t="shared" si="70"/>
        <v>0.21960003919754989</v>
      </c>
      <c r="O318" s="7">
        <v>0.16560910014175007</v>
      </c>
      <c r="P318" s="7">
        <f t="shared" si="71"/>
        <v>3.2052054965993282E-2</v>
      </c>
      <c r="Q318" s="7">
        <f t="shared" si="75"/>
        <v>-0.13355704517575678</v>
      </c>
      <c r="R318" s="7">
        <f t="shared" si="72"/>
        <v>-0.31114652335174853</v>
      </c>
      <c r="S318" s="7">
        <f t="shared" si="76"/>
        <v>-3.8140449879479892E-2</v>
      </c>
      <c r="T318" s="7">
        <f t="shared" si="77"/>
        <v>1</v>
      </c>
      <c r="U318" s="7">
        <f t="shared" si="73"/>
        <v>0.32738193320758757</v>
      </c>
      <c r="V318" s="7">
        <f t="shared" si="78"/>
        <v>1.5368419141254563E-2</v>
      </c>
      <c r="W318" s="7">
        <f t="shared" si="79"/>
        <v>0</v>
      </c>
      <c r="X318" s="8" t="s">
        <v>3</v>
      </c>
      <c r="Y318" s="7">
        <v>0.21960003919754989</v>
      </c>
      <c r="Z318" s="7">
        <v>3.2052054965993282E-2</v>
      </c>
      <c r="AC318" s="7">
        <f t="shared" si="80"/>
        <v>0.34319857831774181</v>
      </c>
      <c r="AD318" s="7">
        <f t="shared" si="81"/>
        <v>0.29532987824159429</v>
      </c>
      <c r="AE318" s="6" t="s">
        <v>3</v>
      </c>
      <c r="AF318" s="6" t="s">
        <v>3</v>
      </c>
      <c r="AG318" s="6" t="s">
        <v>3</v>
      </c>
      <c r="AH318" s="6" t="s">
        <v>3</v>
      </c>
      <c r="AI318" s="6" t="s">
        <v>3</v>
      </c>
      <c r="AJ318" s="6" t="s">
        <v>3</v>
      </c>
      <c r="AK318" s="5">
        <f t="shared" si="82"/>
        <v>610.83920242449335</v>
      </c>
      <c r="AL318" s="7">
        <f t="shared" si="83"/>
        <v>-0.31114652335174853</v>
      </c>
      <c r="AM318" s="7">
        <f t="shared" si="84"/>
        <v>0.32738193320758757</v>
      </c>
    </row>
    <row r="319" spans="10:39" x14ac:dyDescent="0.25">
      <c r="J319" s="3">
        <v>313</v>
      </c>
      <c r="K319" s="7">
        <v>0.22493224017262547</v>
      </c>
      <c r="L319" s="7">
        <f t="shared" si="74"/>
        <v>2.763851707463183E-2</v>
      </c>
      <c r="M319" s="7">
        <f t="shared" ca="1" si="69"/>
        <v>0.13779396563209517</v>
      </c>
      <c r="N319" s="7">
        <f t="shared" si="70"/>
        <v>0.22493224017262547</v>
      </c>
      <c r="O319" s="7">
        <v>0.18872628641995592</v>
      </c>
      <c r="P319" s="7">
        <f t="shared" si="71"/>
        <v>3.4003158056707949E-2</v>
      </c>
      <c r="Q319" s="7">
        <f t="shared" si="75"/>
        <v>-0.15472312836324797</v>
      </c>
      <c r="R319" s="7">
        <f t="shared" si="72"/>
        <v>-0.31067085556680585</v>
      </c>
      <c r="S319" s="7">
        <f t="shared" si="76"/>
        <v>-3.9951771358940943E-2</v>
      </c>
      <c r="T319" s="7">
        <f t="shared" si="77"/>
        <v>1</v>
      </c>
      <c r="U319" s="7">
        <f t="shared" si="73"/>
        <v>0.32830486314333429</v>
      </c>
      <c r="V319" s="7">
        <f t="shared" si="78"/>
        <v>1.3259964788720945E-2</v>
      </c>
      <c r="W319" s="7">
        <f t="shared" si="79"/>
        <v>0</v>
      </c>
      <c r="X319" s="8" t="s">
        <v>3</v>
      </c>
      <c r="Y319" s="7">
        <v>0.22493224017262547</v>
      </c>
      <c r="Z319" s="7">
        <v>3.4003158056707949E-2</v>
      </c>
      <c r="AC319" s="7">
        <f t="shared" si="80"/>
        <v>0.3446740136235138</v>
      </c>
      <c r="AD319" s="7">
        <f t="shared" si="81"/>
        <v>0.29430170508662634</v>
      </c>
      <c r="AE319" s="6" t="s">
        <v>3</v>
      </c>
      <c r="AF319" s="6" t="s">
        <v>3</v>
      </c>
      <c r="AG319" s="6" t="s">
        <v>3</v>
      </c>
      <c r="AH319" s="6" t="s">
        <v>3</v>
      </c>
      <c r="AI319" s="6" t="s">
        <v>3</v>
      </c>
      <c r="AJ319" s="6" t="s">
        <v>3</v>
      </c>
      <c r="AK319" s="5">
        <f t="shared" si="82"/>
        <v>613.51930821635722</v>
      </c>
      <c r="AL319" s="7">
        <f t="shared" si="83"/>
        <v>-0.31067085556680585</v>
      </c>
      <c r="AM319" s="7">
        <f t="shared" si="84"/>
        <v>0.32830486314333429</v>
      </c>
    </row>
    <row r="320" spans="10:39" x14ac:dyDescent="0.25">
      <c r="J320" s="3">
        <v>314</v>
      </c>
      <c r="K320" s="7">
        <v>0.23131200710273436</v>
      </c>
      <c r="L320" s="7">
        <f t="shared" si="74"/>
        <v>3.0525505354547979E-2</v>
      </c>
      <c r="M320" s="7">
        <f t="shared" ca="1" si="69"/>
        <v>-4.5895886865802746E-2</v>
      </c>
      <c r="N320" s="7">
        <f t="shared" si="70"/>
        <v>0.23131200710273436</v>
      </c>
      <c r="O320" s="7">
        <v>0.12622786971711647</v>
      </c>
      <c r="P320" s="7">
        <f t="shared" si="71"/>
        <v>3.6456827471002207E-2</v>
      </c>
      <c r="Q320" s="7">
        <f t="shared" si="75"/>
        <v>-8.9771042246114263E-2</v>
      </c>
      <c r="R320" s="7">
        <f t="shared" si="72"/>
        <v>-0.31005691922938627</v>
      </c>
      <c r="S320" s="7">
        <f t="shared" si="76"/>
        <v>-3.4902783115720218E-2</v>
      </c>
      <c r="T320" s="7">
        <f t="shared" si="77"/>
        <v>1</v>
      </c>
      <c r="U320" s="7">
        <f t="shared" si="73"/>
        <v>0.32969691266950996</v>
      </c>
      <c r="V320" s="7">
        <f t="shared" si="78"/>
        <v>1.9329559080477381E-2</v>
      </c>
      <c r="W320" s="7">
        <f t="shared" si="79"/>
        <v>0</v>
      </c>
      <c r="X320" s="8" t="s">
        <v>3</v>
      </c>
      <c r="Y320" s="7">
        <v>0.23131200710273436</v>
      </c>
      <c r="Z320" s="7">
        <v>3.6456827471002207E-2</v>
      </c>
      <c r="AC320" s="7">
        <f t="shared" si="80"/>
        <v>0.34651374670038848</v>
      </c>
      <c r="AD320" s="7">
        <f t="shared" si="81"/>
        <v>0.29324008519850775</v>
      </c>
      <c r="AE320" s="6" t="s">
        <v>3</v>
      </c>
      <c r="AF320" s="6" t="s">
        <v>3</v>
      </c>
      <c r="AG320" s="6" t="s">
        <v>3</v>
      </c>
      <c r="AH320" s="6" t="s">
        <v>3</v>
      </c>
      <c r="AI320" s="6" t="s">
        <v>3</v>
      </c>
      <c r="AJ320" s="6" t="s">
        <v>3</v>
      </c>
      <c r="AK320" s="5">
        <f t="shared" si="82"/>
        <v>616.7259484724259</v>
      </c>
      <c r="AL320" s="7">
        <f t="shared" si="83"/>
        <v>-0.31005691922938627</v>
      </c>
      <c r="AM320" s="7">
        <f t="shared" si="84"/>
        <v>0.32969691266950996</v>
      </c>
    </row>
    <row r="321" spans="10:39" x14ac:dyDescent="0.25">
      <c r="J321" s="3">
        <v>315</v>
      </c>
      <c r="K321" s="7">
        <v>0.24681646933010826</v>
      </c>
      <c r="L321" s="7">
        <f t="shared" si="74"/>
        <v>3.8353363897769624E-2</v>
      </c>
      <c r="M321" s="7">
        <f t="shared" ca="1" si="69"/>
        <v>-6.1701472188161063E-2</v>
      </c>
      <c r="N321" s="7">
        <f t="shared" si="70"/>
        <v>0.24681646933010826</v>
      </c>
      <c r="O321" s="7">
        <v>-0.10719572158801483</v>
      </c>
      <c r="P321" s="7">
        <f t="shared" si="71"/>
        <v>4.3000752637917028E-2</v>
      </c>
      <c r="Q321" s="7">
        <f t="shared" si="75"/>
        <v>0.15019647422593185</v>
      </c>
      <c r="R321" s="7">
        <f t="shared" si="72"/>
        <v>-0.30833869528746938</v>
      </c>
      <c r="S321" s="7">
        <f t="shared" si="76"/>
        <v>-1.6091437895956365E-2</v>
      </c>
      <c r="T321" s="7">
        <f t="shared" si="77"/>
        <v>1</v>
      </c>
      <c r="U321" s="7">
        <f t="shared" si="73"/>
        <v>0.33444261107164364</v>
      </c>
      <c r="V321" s="7">
        <f t="shared" si="78"/>
        <v>4.1955641602667557E-2</v>
      </c>
      <c r="W321" s="7">
        <f t="shared" si="79"/>
        <v>0</v>
      </c>
      <c r="X321" s="8" t="s">
        <v>3</v>
      </c>
      <c r="Y321" s="7">
        <v>0.24681646933010826</v>
      </c>
      <c r="Z321" s="7">
        <v>4.3000752637917028E-2</v>
      </c>
      <c r="AC321" s="7">
        <f t="shared" si="80"/>
        <v>0.35133944792538641</v>
      </c>
      <c r="AD321" s="7">
        <f t="shared" si="81"/>
        <v>0.29144185843372661</v>
      </c>
      <c r="AE321" s="6" t="s">
        <v>3</v>
      </c>
      <c r="AF321" s="6" t="s">
        <v>3</v>
      </c>
      <c r="AG321" s="6" t="s">
        <v>3</v>
      </c>
      <c r="AH321" s="6" t="s">
        <v>3</v>
      </c>
      <c r="AI321" s="6" t="s">
        <v>3</v>
      </c>
      <c r="AJ321" s="6" t="s">
        <v>3</v>
      </c>
      <c r="AK321" s="5">
        <f t="shared" si="82"/>
        <v>624.51890286584683</v>
      </c>
      <c r="AL321" s="7">
        <f t="shared" si="83"/>
        <v>-0.30833869528746938</v>
      </c>
      <c r="AM321" s="7">
        <f t="shared" si="84"/>
        <v>0.33444261107164364</v>
      </c>
    </row>
    <row r="322" spans="10:39" x14ac:dyDescent="0.25">
      <c r="J322" s="3">
        <v>316</v>
      </c>
      <c r="K322" s="7">
        <v>0.25584397346456278</v>
      </c>
      <c r="L322" s="7">
        <f t="shared" si="74"/>
        <v>4.3459004803264152E-2</v>
      </c>
      <c r="M322" s="7">
        <f t="shared" ca="1" si="69"/>
        <v>0.21043367067804916</v>
      </c>
      <c r="N322" s="7">
        <f t="shared" si="70"/>
        <v>0.25584397346456278</v>
      </c>
      <c r="O322" s="7">
        <v>0.25318275584352257</v>
      </c>
      <c r="P322" s="7">
        <f t="shared" si="71"/>
        <v>4.7219688202550181E-2</v>
      </c>
      <c r="Q322" s="7">
        <f t="shared" si="75"/>
        <v>-0.20596306764097239</v>
      </c>
      <c r="R322" s="7">
        <f t="shared" si="72"/>
        <v>-0.30717271750303965</v>
      </c>
      <c r="S322" s="7">
        <f t="shared" si="76"/>
        <v>-4.4828437867724981E-2</v>
      </c>
      <c r="T322" s="7">
        <f t="shared" si="77"/>
        <v>1</v>
      </c>
      <c r="U322" s="7">
        <f t="shared" si="73"/>
        <v>0.3381419079330148</v>
      </c>
      <c r="V322" s="7">
        <f t="shared" si="78"/>
        <v>8.0711194485017616E-3</v>
      </c>
      <c r="W322" s="7">
        <f t="shared" si="79"/>
        <v>0</v>
      </c>
      <c r="X322" s="8" t="s">
        <v>3</v>
      </c>
      <c r="Y322" s="7">
        <v>0.25584397346456278</v>
      </c>
      <c r="Z322" s="7">
        <v>4.7219688202550181E-2</v>
      </c>
      <c r="AC322" s="7">
        <f t="shared" si="80"/>
        <v>0.35439240570558983</v>
      </c>
      <c r="AD322" s="7">
        <f t="shared" si="81"/>
        <v>0.29092221973046462</v>
      </c>
      <c r="AE322" s="6" t="s">
        <v>3</v>
      </c>
      <c r="AF322" s="6" t="s">
        <v>3</v>
      </c>
      <c r="AG322" s="6" t="s">
        <v>3</v>
      </c>
      <c r="AH322" s="6" t="s">
        <v>3</v>
      </c>
      <c r="AI322" s="6" t="s">
        <v>3</v>
      </c>
      <c r="AJ322" s="6" t="s">
        <v>3</v>
      </c>
      <c r="AK322" s="5">
        <f t="shared" si="82"/>
        <v>629.05636614412913</v>
      </c>
      <c r="AL322" s="7">
        <f t="shared" si="83"/>
        <v>-0.30717271750303965</v>
      </c>
      <c r="AM322" s="7">
        <f t="shared" si="84"/>
        <v>0.3381419079330148</v>
      </c>
    </row>
    <row r="323" spans="10:39" x14ac:dyDescent="0.25">
      <c r="J323" s="3">
        <v>317</v>
      </c>
      <c r="K323" s="7">
        <v>0.2604487835601017</v>
      </c>
      <c r="L323" s="7">
        <f t="shared" si="74"/>
        <v>4.6222777824150935E-2</v>
      </c>
      <c r="M323" s="7">
        <f t="shared" ca="1" si="69"/>
        <v>0.12475353430476079</v>
      </c>
      <c r="N323" s="7">
        <f t="shared" si="70"/>
        <v>0.2604487835601017</v>
      </c>
      <c r="O323" s="7">
        <v>0.1234641856712031</v>
      </c>
      <c r="P323" s="7">
        <f t="shared" si="71"/>
        <v>4.9495558606367673E-2</v>
      </c>
      <c r="Q323" s="7">
        <f t="shared" si="75"/>
        <v>-7.3968627064835424E-2</v>
      </c>
      <c r="R323" s="7">
        <f t="shared" si="72"/>
        <v>-0.30652588908470069</v>
      </c>
      <c r="S323" s="7">
        <f t="shared" si="76"/>
        <v>-3.4399205980472303E-2</v>
      </c>
      <c r="T323" s="7">
        <f t="shared" si="77"/>
        <v>1</v>
      </c>
      <c r="U323" s="7">
        <f t="shared" si="73"/>
        <v>0.34030812553404344</v>
      </c>
      <c r="V323" s="7">
        <f t="shared" si="78"/>
        <v>2.0600174286969832E-2</v>
      </c>
      <c r="W323" s="7">
        <f t="shared" si="79"/>
        <v>0</v>
      </c>
      <c r="X323" s="8" t="s">
        <v>3</v>
      </c>
      <c r="Y323" s="7">
        <v>0.2604487835601017</v>
      </c>
      <c r="Z323" s="7">
        <v>4.9495558606367673E-2</v>
      </c>
      <c r="AC323" s="7">
        <f t="shared" si="80"/>
        <v>0.35602144769106836</v>
      </c>
      <c r="AD323" s="7">
        <f t="shared" si="81"/>
        <v>0.29081256692767576</v>
      </c>
      <c r="AE323" s="6" t="s">
        <v>3</v>
      </c>
      <c r="AF323" s="6" t="s">
        <v>3</v>
      </c>
      <c r="AG323" s="6" t="s">
        <v>3</v>
      </c>
      <c r="AH323" s="6" t="s">
        <v>3</v>
      </c>
      <c r="AI323" s="6" t="s">
        <v>3</v>
      </c>
      <c r="AJ323" s="6" t="s">
        <v>3</v>
      </c>
      <c r="AK323" s="5">
        <f t="shared" si="82"/>
        <v>631.37086596609265</v>
      </c>
      <c r="AL323" s="7">
        <f t="shared" si="83"/>
        <v>-0.30652588908470069</v>
      </c>
      <c r="AM323" s="7">
        <f t="shared" si="84"/>
        <v>0.34030812553404344</v>
      </c>
    </row>
    <row r="324" spans="10:39" x14ac:dyDescent="0.25">
      <c r="J324" s="3">
        <v>318</v>
      </c>
      <c r="K324" s="7">
        <v>0.26238300222997357</v>
      </c>
      <c r="L324" s="7">
        <f t="shared" si="74"/>
        <v>4.7416191234379478E-2</v>
      </c>
      <c r="M324" s="7">
        <f t="shared" ca="1" si="69"/>
        <v>-0.11678550413946864</v>
      </c>
      <c r="N324" s="7">
        <f t="shared" si="70"/>
        <v>0.26238300222997357</v>
      </c>
      <c r="O324" s="7">
        <v>-9.8960449743943468E-2</v>
      </c>
      <c r="P324" s="7">
        <f t="shared" si="71"/>
        <v>5.0477342490843125E-2</v>
      </c>
      <c r="Q324" s="7">
        <f t="shared" si="75"/>
        <v>0.14943779223478659</v>
      </c>
      <c r="R324" s="7">
        <f t="shared" si="72"/>
        <v>-0.30624310202318572</v>
      </c>
      <c r="S324" s="7">
        <f t="shared" si="76"/>
        <v>-1.658261218233938E-2</v>
      </c>
      <c r="T324" s="7">
        <f t="shared" si="77"/>
        <v>1</v>
      </c>
      <c r="U324" s="7">
        <f t="shared" si="73"/>
        <v>0.34127592925577677</v>
      </c>
      <c r="V324" s="7">
        <f t="shared" si="78"/>
        <v>4.1822456004973425E-2</v>
      </c>
      <c r="W324" s="7">
        <f t="shared" si="79"/>
        <v>0</v>
      </c>
      <c r="X324" s="8" t="s">
        <v>3</v>
      </c>
      <c r="Y324" s="7">
        <v>0.26238300222997357</v>
      </c>
      <c r="Z324" s="7">
        <v>5.0477342490843125E-2</v>
      </c>
      <c r="AC324" s="7">
        <f t="shared" si="80"/>
        <v>0.35672044451402884</v>
      </c>
      <c r="AD324" s="7">
        <f t="shared" si="81"/>
        <v>0.29079858676493364</v>
      </c>
      <c r="AE324" s="6" t="s">
        <v>3</v>
      </c>
      <c r="AF324" s="6" t="s">
        <v>3</v>
      </c>
      <c r="AG324" s="6" t="s">
        <v>3</v>
      </c>
      <c r="AH324" s="6" t="s">
        <v>3</v>
      </c>
      <c r="AI324" s="6" t="s">
        <v>3</v>
      </c>
      <c r="AJ324" s="6" t="s">
        <v>3</v>
      </c>
      <c r="AK324" s="5">
        <f t="shared" si="82"/>
        <v>632.34305562737632</v>
      </c>
      <c r="AL324" s="7">
        <f t="shared" si="83"/>
        <v>-0.30624310202318572</v>
      </c>
      <c r="AM324" s="7">
        <f t="shared" si="84"/>
        <v>0.34127592925577677</v>
      </c>
    </row>
    <row r="325" spans="10:39" x14ac:dyDescent="0.25">
      <c r="J325" s="3">
        <v>319</v>
      </c>
      <c r="K325" s="7">
        <v>0.26459036080682474</v>
      </c>
      <c r="L325" s="7">
        <f t="shared" si="74"/>
        <v>4.8801769537500261E-2</v>
      </c>
      <c r="M325" s="7">
        <f t="shared" ca="1" si="69"/>
        <v>0.40932002473185874</v>
      </c>
      <c r="N325" s="7">
        <f t="shared" si="70"/>
        <v>0.26459036080682474</v>
      </c>
      <c r="O325" s="7">
        <v>0.24112754034636222</v>
      </c>
      <c r="P325" s="7">
        <f t="shared" si="71"/>
        <v>5.161678477595899E-2</v>
      </c>
      <c r="Q325" s="7">
        <f t="shared" si="75"/>
        <v>-0.18951075557040323</v>
      </c>
      <c r="R325" s="7">
        <f t="shared" si="72"/>
        <v>-0.30591210977901984</v>
      </c>
      <c r="S325" s="7">
        <f t="shared" si="76"/>
        <v>-4.3763172010030563E-2</v>
      </c>
      <c r="T325" s="7">
        <f t="shared" si="77"/>
        <v>1</v>
      </c>
      <c r="U325" s="7">
        <f t="shared" si="73"/>
        <v>0.34242294549959595</v>
      </c>
      <c r="V325" s="7">
        <f t="shared" si="78"/>
        <v>9.6230634895572049E-3</v>
      </c>
      <c r="W325" s="7">
        <f t="shared" si="79"/>
        <v>0</v>
      </c>
      <c r="X325" s="8" t="s">
        <v>3</v>
      </c>
      <c r="Y325" s="7">
        <v>0.26459036080682474</v>
      </c>
      <c r="Z325" s="7">
        <v>5.161678477595899E-2</v>
      </c>
      <c r="AC325" s="7">
        <f t="shared" si="80"/>
        <v>0.35752889455497883</v>
      </c>
      <c r="AD325" s="7">
        <f t="shared" si="81"/>
        <v>0.29080616072363696</v>
      </c>
      <c r="AE325" s="6" t="s">
        <v>3</v>
      </c>
      <c r="AF325" s="6" t="s">
        <v>3</v>
      </c>
      <c r="AG325" s="6" t="s">
        <v>3</v>
      </c>
      <c r="AH325" s="6" t="s">
        <v>3</v>
      </c>
      <c r="AI325" s="6" t="s">
        <v>3</v>
      </c>
      <c r="AJ325" s="6" t="s">
        <v>3</v>
      </c>
      <c r="AK325" s="5">
        <f t="shared" si="82"/>
        <v>633.45253265837948</v>
      </c>
      <c r="AL325" s="7">
        <f t="shared" si="83"/>
        <v>-0.30591210977901984</v>
      </c>
      <c r="AM325" s="7">
        <f t="shared" si="84"/>
        <v>0.34242294549959595</v>
      </c>
    </row>
    <row r="326" spans="10:39" x14ac:dyDescent="0.25">
      <c r="J326" s="3">
        <v>320</v>
      </c>
      <c r="K326" s="7">
        <v>0.26942033541585708</v>
      </c>
      <c r="L326" s="7">
        <f t="shared" si="74"/>
        <v>5.1921956094340048E-2</v>
      </c>
      <c r="M326" s="7">
        <f t="shared" ca="1" si="69"/>
        <v>0.44995197235113216</v>
      </c>
      <c r="N326" s="7">
        <f t="shared" si="70"/>
        <v>0.26942033541585708</v>
      </c>
      <c r="O326" s="7">
        <v>2.2783945332516549E-2</v>
      </c>
      <c r="P326" s="7">
        <f t="shared" si="71"/>
        <v>5.4182078032297465E-2</v>
      </c>
      <c r="Q326" s="7">
        <f t="shared" si="75"/>
        <v>3.1398132699780916E-2</v>
      </c>
      <c r="R326" s="7">
        <f t="shared" si="72"/>
        <v>-0.30515609468627414</v>
      </c>
      <c r="S326" s="7">
        <f t="shared" si="76"/>
        <v>-2.6235203201503254E-2</v>
      </c>
      <c r="T326" s="7">
        <f t="shared" si="77"/>
        <v>1</v>
      </c>
      <c r="U326" s="7">
        <f t="shared" si="73"/>
        <v>0.34509368227792336</v>
      </c>
      <c r="V326" s="7">
        <f t="shared" si="78"/>
        <v>3.0619425009813649E-2</v>
      </c>
      <c r="W326" s="7">
        <f t="shared" si="79"/>
        <v>0</v>
      </c>
      <c r="X326" s="8" t="s">
        <v>3</v>
      </c>
      <c r="Y326" s="7">
        <v>0.26942033541585708</v>
      </c>
      <c r="Z326" s="7">
        <v>5.4182078032297465E-2</v>
      </c>
      <c r="AC326" s="7">
        <f t="shared" si="80"/>
        <v>0.3593381727185716</v>
      </c>
      <c r="AD326" s="7">
        <f t="shared" si="81"/>
        <v>0.2909116042456259</v>
      </c>
      <c r="AE326" s="6" t="s">
        <v>3</v>
      </c>
      <c r="AF326" s="6" t="s">
        <v>3</v>
      </c>
      <c r="AG326" s="6" t="s">
        <v>3</v>
      </c>
      <c r="AH326" s="6" t="s">
        <v>3</v>
      </c>
      <c r="AI326" s="6" t="s">
        <v>3</v>
      </c>
      <c r="AJ326" s="6" t="s">
        <v>3</v>
      </c>
      <c r="AK326" s="5">
        <f t="shared" si="82"/>
        <v>635.88020614344339</v>
      </c>
      <c r="AL326" s="7">
        <f t="shared" si="83"/>
        <v>-0.30515609468627414</v>
      </c>
      <c r="AM326" s="7">
        <f t="shared" si="84"/>
        <v>0.34509368227792336</v>
      </c>
    </row>
    <row r="327" spans="10:39" x14ac:dyDescent="0.25">
      <c r="J327" s="3">
        <v>321</v>
      </c>
      <c r="K327" s="7">
        <v>0.27531624934626397</v>
      </c>
      <c r="L327" s="7">
        <f t="shared" si="74"/>
        <v>5.5896310463557142E-2</v>
      </c>
      <c r="M327" s="7">
        <f t="shared" ref="M327:M390" ca="1" si="85">L327+0.9*_xlfn.NORM.INV(RAND(),0,0.1)+0.1*_xlfn.NORM.INV(RAND(),0,2)</f>
        <v>-0.26454206629464228</v>
      </c>
      <c r="N327" s="7">
        <f t="shared" ref="N327:N390" si="86">K327</f>
        <v>0.27531624934626397</v>
      </c>
      <c r="O327" s="7">
        <v>0.25708748772943524</v>
      </c>
      <c r="P327" s="7">
        <f t="shared" ref="P327:P390" si="87">AG$8+AG$9*TANH(AG$10+AG$11*TANH(AG$12+AG$13*N327)+AG$14*TANH(AG$15+AG$16*N327)+AG$17*TANH(AG$18+AG$19*N327)+AG$20*TANH(AG$21+AG$22*N327))+AG$23*TANH(AG$24+AG$25*N327)</f>
        <v>5.7451186212207794E-2</v>
      </c>
      <c r="Q327" s="7">
        <f t="shared" si="75"/>
        <v>-0.19963630151722744</v>
      </c>
      <c r="R327" s="7">
        <f t="shared" ref="R327:R390" si="88">AH$8+AH$9*TANH(AH$10+AH$11*TANH(AH$12+AH$13*$N327)+AH$14*TANH(AH$15+AH$16*$N327)+AH$17*TANH(AH$18+AH$19*$N327)+AH$20*TANH(AH$21+AH$22*$N327))+AH$23*TANH(AH$24+AH$25*$N327)</f>
        <v>-0.30417131178104917</v>
      </c>
      <c r="S327" s="7">
        <f t="shared" si="76"/>
        <v>-4.4900703960838756E-2</v>
      </c>
      <c r="T327" s="7">
        <f t="shared" si="77"/>
        <v>1</v>
      </c>
      <c r="U327" s="7">
        <f t="shared" ref="U327:U390" si="89">AI$8+AI$9*TANH(AI$10+AI$11*TANH(AI$12+AI$13*$N327)+AI$14*TANH(AI$15+AI$16*$N327)+AI$17*TANH(AI$18+AI$19*$N327)+AI$20*TANH(AI$21+AI$22*$N327))+AI$23*TANH(AI$24+AI$25*$N327)</f>
        <v>0.34866083867318842</v>
      </c>
      <c r="V327" s="7">
        <f t="shared" si="78"/>
        <v>8.699468339656553E-3</v>
      </c>
      <c r="W327" s="7">
        <f t="shared" si="79"/>
        <v>0</v>
      </c>
      <c r="X327" s="8" t="s">
        <v>3</v>
      </c>
      <c r="Y327" s="7">
        <v>0.27531624934626397</v>
      </c>
      <c r="Z327" s="7">
        <v>5.7451186212207794E-2</v>
      </c>
      <c r="AC327" s="7">
        <f t="shared" si="80"/>
        <v>0.36162249799325696</v>
      </c>
      <c r="AD327" s="7">
        <f t="shared" si="81"/>
        <v>0.29120965246098063</v>
      </c>
      <c r="AE327" s="6" t="s">
        <v>3</v>
      </c>
      <c r="AF327" s="6" t="s">
        <v>3</v>
      </c>
      <c r="AG327" s="6" t="s">
        <v>3</v>
      </c>
      <c r="AH327" s="6" t="s">
        <v>3</v>
      </c>
      <c r="AI327" s="6" t="s">
        <v>3</v>
      </c>
      <c r="AJ327" s="6" t="s">
        <v>3</v>
      </c>
      <c r="AK327" s="5">
        <f t="shared" si="82"/>
        <v>638.84364903448898</v>
      </c>
      <c r="AL327" s="7">
        <f t="shared" si="83"/>
        <v>-0.30417131178104917</v>
      </c>
      <c r="AM327" s="7">
        <f t="shared" si="84"/>
        <v>0.34866083867318842</v>
      </c>
    </row>
    <row r="328" spans="10:39" x14ac:dyDescent="0.25">
      <c r="J328" s="3">
        <v>322</v>
      </c>
      <c r="K328" s="7">
        <v>0.27740407554636248</v>
      </c>
      <c r="L328" s="7">
        <f t="shared" ref="L328:L391" si="90">15*(K328^2-1)^2*K328^4*EXP(-1*K328)</f>
        <v>5.7347588391633078E-2</v>
      </c>
      <c r="M328" s="7">
        <f t="shared" ca="1" si="85"/>
        <v>-0.1036556966704905</v>
      </c>
      <c r="N328" s="7">
        <f t="shared" si="86"/>
        <v>0.27740407554636248</v>
      </c>
      <c r="O328" s="7">
        <v>-0.20895739289229026</v>
      </c>
      <c r="P328" s="7">
        <f t="shared" si="87"/>
        <v>5.8646056968895799E-2</v>
      </c>
      <c r="Q328" s="7">
        <f t="shared" ref="Q328:Q391" si="91">P328-O328</f>
        <v>0.26760344986118606</v>
      </c>
      <c r="R328" s="7">
        <f t="shared" si="88"/>
        <v>-0.30380549362715747</v>
      </c>
      <c r="S328" s="7">
        <f t="shared" ref="S328:S391" si="92">IF(R328-O328&gt;0,1-$S$5,$S$5)*(R328-O328)</f>
        <v>-7.5878480587893773E-3</v>
      </c>
      <c r="T328" s="7">
        <f t="shared" ref="T328:T391" si="93">IF(R328&lt;O328,1,0)</f>
        <v>1</v>
      </c>
      <c r="U328" s="7">
        <f t="shared" si="89"/>
        <v>0.3500069950381941</v>
      </c>
      <c r="V328" s="7">
        <f t="shared" ref="V328:V391" si="94">IF(U328-O328&lt;0,1-$V$5,$V$5)*(U328-O328)</f>
        <v>5.3101616853396018E-2</v>
      </c>
      <c r="W328" s="7">
        <f t="shared" ref="W328:W391" si="95">IF(U328&lt;O328,1,0)</f>
        <v>0</v>
      </c>
      <c r="X328" s="8" t="s">
        <v>3</v>
      </c>
      <c r="Y328" s="7">
        <v>0.27740407554636248</v>
      </c>
      <c r="Z328" s="7">
        <v>5.8646056968895799E-2</v>
      </c>
      <c r="AC328" s="7">
        <f t="shared" ref="AC328:AC391" si="96">P328-R328</f>
        <v>0.36245155059605327</v>
      </c>
      <c r="AD328" s="7">
        <f t="shared" ref="AD328:AD391" si="97">U328-P328</f>
        <v>0.2913609380692983</v>
      </c>
      <c r="AE328" s="6" t="s">
        <v>3</v>
      </c>
      <c r="AF328" s="6" t="s">
        <v>3</v>
      </c>
      <c r="AG328" s="6" t="s">
        <v>3</v>
      </c>
      <c r="AH328" s="6" t="s">
        <v>3</v>
      </c>
      <c r="AI328" s="6" t="s">
        <v>3</v>
      </c>
      <c r="AJ328" s="6" t="s">
        <v>3</v>
      </c>
      <c r="AK328" s="5">
        <f t="shared" ref="AK328:AK391" si="98">1000*(N328-MIN(N$7:N$507))/(MAX(N$7:N$507)-MIN(N$7:N$507))</f>
        <v>639.89304591908592</v>
      </c>
      <c r="AL328" s="7">
        <f t="shared" ref="AL328:AL391" si="99">R328</f>
        <v>-0.30380549362715747</v>
      </c>
      <c r="AM328" s="7">
        <f t="shared" ref="AM328:AM391" si="100">U328-0*R328</f>
        <v>0.3500069950381941</v>
      </c>
    </row>
    <row r="329" spans="10:39" x14ac:dyDescent="0.25">
      <c r="J329" s="3">
        <v>323</v>
      </c>
      <c r="K329" s="7">
        <v>0.27890426620415298</v>
      </c>
      <c r="L329" s="7">
        <f t="shared" si="90"/>
        <v>5.8404623609877603E-2</v>
      </c>
      <c r="M329" s="7">
        <f t="shared" ca="1" si="85"/>
        <v>8.706192720002931E-2</v>
      </c>
      <c r="N329" s="7">
        <f t="shared" si="86"/>
        <v>0.27890426620415298</v>
      </c>
      <c r="O329" s="7">
        <v>0.13331752729632615</v>
      </c>
      <c r="P329" s="7">
        <f t="shared" si="87"/>
        <v>5.9516870861322513E-2</v>
      </c>
      <c r="Q329" s="7">
        <f t="shared" si="91"/>
        <v>-7.3800656435003636E-2</v>
      </c>
      <c r="R329" s="7">
        <f t="shared" si="88"/>
        <v>-0.30353692587654191</v>
      </c>
      <c r="S329" s="7">
        <f t="shared" si="92"/>
        <v>-3.494835625382945E-2</v>
      </c>
      <c r="T329" s="7">
        <f t="shared" si="93"/>
        <v>1</v>
      </c>
      <c r="U329" s="7">
        <f t="shared" si="89"/>
        <v>0.35100156553314887</v>
      </c>
      <c r="V329" s="7">
        <f t="shared" si="94"/>
        <v>2.067998363249816E-2</v>
      </c>
      <c r="W329" s="7">
        <f t="shared" si="95"/>
        <v>0</v>
      </c>
      <c r="X329" s="8" t="s">
        <v>3</v>
      </c>
      <c r="Y329" s="7">
        <v>0.27890426620415298</v>
      </c>
      <c r="Z329" s="7">
        <v>5.9516870861322513E-2</v>
      </c>
      <c r="AC329" s="7">
        <f t="shared" si="96"/>
        <v>0.36305379673786442</v>
      </c>
      <c r="AD329" s="7">
        <f t="shared" si="97"/>
        <v>0.29148469467182636</v>
      </c>
      <c r="AE329" s="6" t="s">
        <v>3</v>
      </c>
      <c r="AF329" s="6" t="s">
        <v>3</v>
      </c>
      <c r="AG329" s="6" t="s">
        <v>3</v>
      </c>
      <c r="AH329" s="6" t="s">
        <v>3</v>
      </c>
      <c r="AI329" s="6" t="s">
        <v>3</v>
      </c>
      <c r="AJ329" s="6" t="s">
        <v>3</v>
      </c>
      <c r="AK329" s="5">
        <f t="shared" si="98"/>
        <v>640.64708157708878</v>
      </c>
      <c r="AL329" s="7">
        <f t="shared" si="99"/>
        <v>-0.30353692587654191</v>
      </c>
      <c r="AM329" s="7">
        <f t="shared" si="100"/>
        <v>0.35100156553314887</v>
      </c>
    </row>
    <row r="330" spans="10:39" x14ac:dyDescent="0.25">
      <c r="J330" s="3">
        <v>324</v>
      </c>
      <c r="K330" s="7">
        <v>0.27938001398692447</v>
      </c>
      <c r="L330" s="7">
        <f t="shared" si="90"/>
        <v>5.8742324696654843E-2</v>
      </c>
      <c r="M330" s="7">
        <f t="shared" ca="1" si="85"/>
        <v>0.33530090227759457</v>
      </c>
      <c r="N330" s="7">
        <f t="shared" si="86"/>
        <v>0.27938001398692447</v>
      </c>
      <c r="O330" s="7">
        <v>0.46828384859338101</v>
      </c>
      <c r="P330" s="7">
        <f t="shared" si="87"/>
        <v>5.9795183685969366E-2</v>
      </c>
      <c r="Q330" s="7">
        <f t="shared" si="91"/>
        <v>-0.40848866490741165</v>
      </c>
      <c r="R330" s="7">
        <f t="shared" si="88"/>
        <v>-0.30345074394933658</v>
      </c>
      <c r="S330" s="7">
        <f t="shared" si="92"/>
        <v>-6.1738767403417411E-2</v>
      </c>
      <c r="T330" s="7">
        <f t="shared" si="93"/>
        <v>1</v>
      </c>
      <c r="U330" s="7">
        <f t="shared" si="89"/>
        <v>0.35132177503470574</v>
      </c>
      <c r="V330" s="7">
        <f t="shared" si="94"/>
        <v>-0.10585067657060113</v>
      </c>
      <c r="W330" s="7">
        <f t="shared" si="95"/>
        <v>1</v>
      </c>
      <c r="X330" s="8" t="s">
        <v>3</v>
      </c>
      <c r="Y330" s="7">
        <v>0.27938001398692447</v>
      </c>
      <c r="Z330" s="7">
        <v>5.9795183685969366E-2</v>
      </c>
      <c r="AC330" s="7">
        <f t="shared" si="96"/>
        <v>0.36324592763530594</v>
      </c>
      <c r="AD330" s="7">
        <f t="shared" si="97"/>
        <v>0.29152659134873637</v>
      </c>
      <c r="AE330" s="6" t="s">
        <v>3</v>
      </c>
      <c r="AF330" s="6" t="s">
        <v>3</v>
      </c>
      <c r="AG330" s="6" t="s">
        <v>3</v>
      </c>
      <c r="AH330" s="6" t="s">
        <v>3</v>
      </c>
      <c r="AI330" s="6" t="s">
        <v>3</v>
      </c>
      <c r="AJ330" s="6" t="s">
        <v>3</v>
      </c>
      <c r="AK330" s="5">
        <f t="shared" si="98"/>
        <v>640.88620504487096</v>
      </c>
      <c r="AL330" s="7">
        <f t="shared" si="99"/>
        <v>-0.30345074394933658</v>
      </c>
      <c r="AM330" s="7">
        <f t="shared" si="100"/>
        <v>0.35132177503470574</v>
      </c>
    </row>
    <row r="331" spans="10:39" x14ac:dyDescent="0.25">
      <c r="J331" s="3">
        <v>325</v>
      </c>
      <c r="K331" s="7">
        <v>0.2841785590726067</v>
      </c>
      <c r="L331" s="7">
        <f t="shared" si="90"/>
        <v>6.2215635948586284E-2</v>
      </c>
      <c r="M331" s="7">
        <f t="shared" ca="1" si="85"/>
        <v>1.0695002583246627E-2</v>
      </c>
      <c r="N331" s="7">
        <f t="shared" si="86"/>
        <v>0.2841785590726067</v>
      </c>
      <c r="O331" s="7">
        <v>0.20363325743860883</v>
      </c>
      <c r="P331" s="7">
        <f t="shared" si="87"/>
        <v>6.2661139108993069E-2</v>
      </c>
      <c r="Q331" s="7">
        <f t="shared" si="91"/>
        <v>-0.14097211832961576</v>
      </c>
      <c r="R331" s="7">
        <f t="shared" si="88"/>
        <v>-0.30255354348785346</v>
      </c>
      <c r="S331" s="7">
        <f t="shared" si="92"/>
        <v>-4.0494944074116981E-2</v>
      </c>
      <c r="T331" s="7">
        <f t="shared" si="93"/>
        <v>1</v>
      </c>
      <c r="U331" s="7">
        <f t="shared" si="89"/>
        <v>0.35468267625414773</v>
      </c>
      <c r="V331" s="7">
        <f t="shared" si="94"/>
        <v>1.4349694787476197E-2</v>
      </c>
      <c r="W331" s="7">
        <f t="shared" si="95"/>
        <v>0</v>
      </c>
      <c r="X331" s="8" t="s">
        <v>3</v>
      </c>
      <c r="Y331" s="7">
        <v>0.2841785590726067</v>
      </c>
      <c r="Z331" s="7">
        <v>6.2661139108993069E-2</v>
      </c>
      <c r="AC331" s="7">
        <f t="shared" si="96"/>
        <v>0.36521468259684653</v>
      </c>
      <c r="AD331" s="7">
        <f t="shared" si="97"/>
        <v>0.29202153714515466</v>
      </c>
      <c r="AE331" s="6" t="s">
        <v>3</v>
      </c>
      <c r="AF331" s="6" t="s">
        <v>3</v>
      </c>
      <c r="AG331" s="6" t="s">
        <v>3</v>
      </c>
      <c r="AH331" s="6" t="s">
        <v>3</v>
      </c>
      <c r="AI331" s="6" t="s">
        <v>3</v>
      </c>
      <c r="AJ331" s="6" t="s">
        <v>3</v>
      </c>
      <c r="AK331" s="5">
        <f t="shared" si="98"/>
        <v>643.29808121697533</v>
      </c>
      <c r="AL331" s="7">
        <f t="shared" si="99"/>
        <v>-0.30255354348785346</v>
      </c>
      <c r="AM331" s="7">
        <f t="shared" si="100"/>
        <v>0.35468267625414773</v>
      </c>
    </row>
    <row r="332" spans="10:39" x14ac:dyDescent="0.25">
      <c r="J332" s="3">
        <v>326</v>
      </c>
      <c r="K332" s="7">
        <v>0.28508511801291747</v>
      </c>
      <c r="L332" s="7">
        <f t="shared" si="90"/>
        <v>6.288557217734829E-2</v>
      </c>
      <c r="M332" s="7">
        <f t="shared" ca="1" si="85"/>
        <v>8.6831134285273309E-3</v>
      </c>
      <c r="N332" s="7">
        <f t="shared" si="86"/>
        <v>0.28508511801291747</v>
      </c>
      <c r="O332" s="7">
        <v>-2.1823537429194406E-2</v>
      </c>
      <c r="P332" s="7">
        <f t="shared" si="87"/>
        <v>6.3214743122335992E-2</v>
      </c>
      <c r="Q332" s="7">
        <f t="shared" si="91"/>
        <v>8.5038280551530399E-2</v>
      </c>
      <c r="R332" s="7">
        <f t="shared" si="88"/>
        <v>-0.30237820025035411</v>
      </c>
      <c r="S332" s="7">
        <f t="shared" si="92"/>
        <v>-2.2444373025692778E-2</v>
      </c>
      <c r="T332" s="7">
        <f t="shared" si="93"/>
        <v>1</v>
      </c>
      <c r="U332" s="7">
        <f t="shared" si="89"/>
        <v>0.35534476736103482</v>
      </c>
      <c r="V332" s="7">
        <f t="shared" si="94"/>
        <v>3.583098895507178E-2</v>
      </c>
      <c r="W332" s="7">
        <f t="shared" si="95"/>
        <v>0</v>
      </c>
      <c r="X332" s="8" t="s">
        <v>3</v>
      </c>
      <c r="Y332" s="7">
        <v>0.28508511801291747</v>
      </c>
      <c r="Z332" s="7">
        <v>6.3214743122335992E-2</v>
      </c>
      <c r="AC332" s="7">
        <f t="shared" si="96"/>
        <v>0.3655929433726901</v>
      </c>
      <c r="AD332" s="7">
        <f t="shared" si="97"/>
        <v>0.29213002423869883</v>
      </c>
      <c r="AE332" s="6" t="s">
        <v>3</v>
      </c>
      <c r="AF332" s="6" t="s">
        <v>3</v>
      </c>
      <c r="AG332" s="6" t="s">
        <v>3</v>
      </c>
      <c r="AH332" s="6" t="s">
        <v>3</v>
      </c>
      <c r="AI332" s="6" t="s">
        <v>3</v>
      </c>
      <c r="AJ332" s="6" t="s">
        <v>3</v>
      </c>
      <c r="AK332" s="5">
        <f t="shared" si="98"/>
        <v>643.75374181153097</v>
      </c>
      <c r="AL332" s="7">
        <f t="shared" si="99"/>
        <v>-0.30237820025035411</v>
      </c>
      <c r="AM332" s="7">
        <f t="shared" si="100"/>
        <v>0.35534476736103482</v>
      </c>
    </row>
    <row r="333" spans="10:39" x14ac:dyDescent="0.25">
      <c r="J333" s="3">
        <v>327</v>
      </c>
      <c r="K333" s="7">
        <v>0.2856983927020722</v>
      </c>
      <c r="L333" s="7">
        <f t="shared" si="90"/>
        <v>6.3341255700898311E-2</v>
      </c>
      <c r="M333" s="7">
        <f t="shared" ca="1" si="85"/>
        <v>0.20762941471959268</v>
      </c>
      <c r="N333" s="7">
        <f t="shared" si="86"/>
        <v>0.2856983927020722</v>
      </c>
      <c r="O333" s="7">
        <v>0.3246155598915218</v>
      </c>
      <c r="P333" s="7">
        <f t="shared" si="87"/>
        <v>6.3591465345913534E-2</v>
      </c>
      <c r="Q333" s="7">
        <f t="shared" si="91"/>
        <v>-0.26102409454560827</v>
      </c>
      <c r="R333" s="7">
        <f t="shared" si="88"/>
        <v>-0.30225850575466939</v>
      </c>
      <c r="S333" s="7">
        <f t="shared" si="92"/>
        <v>-5.0149925251695295E-2</v>
      </c>
      <c r="T333" s="7">
        <f t="shared" si="93"/>
        <v>1</v>
      </c>
      <c r="U333" s="7">
        <f t="shared" si="89"/>
        <v>0.35579761548888378</v>
      </c>
      <c r="V333" s="7">
        <f t="shared" si="94"/>
        <v>2.9622952817493879E-3</v>
      </c>
      <c r="W333" s="7">
        <f t="shared" si="95"/>
        <v>0</v>
      </c>
      <c r="X333" s="8" t="s">
        <v>3</v>
      </c>
      <c r="Y333" s="7">
        <v>0.2856983927020722</v>
      </c>
      <c r="Z333" s="7">
        <v>6.3591465345913534E-2</v>
      </c>
      <c r="AC333" s="7">
        <f t="shared" si="96"/>
        <v>0.36584997110058293</v>
      </c>
      <c r="AD333" s="7">
        <f t="shared" si="97"/>
        <v>0.29220615014297024</v>
      </c>
      <c r="AE333" s="6" t="s">
        <v>3</v>
      </c>
      <c r="AF333" s="6" t="s">
        <v>3</v>
      </c>
      <c r="AG333" s="6" t="s">
        <v>3</v>
      </c>
      <c r="AH333" s="6" t="s">
        <v>3</v>
      </c>
      <c r="AI333" s="6" t="s">
        <v>3</v>
      </c>
      <c r="AJ333" s="6" t="s">
        <v>3</v>
      </c>
      <c r="AK333" s="5">
        <f t="shared" si="98"/>
        <v>644.06198995410659</v>
      </c>
      <c r="AL333" s="7">
        <f t="shared" si="99"/>
        <v>-0.30225850575466939</v>
      </c>
      <c r="AM333" s="7">
        <f t="shared" si="100"/>
        <v>0.35579761548888378</v>
      </c>
    </row>
    <row r="334" spans="10:39" x14ac:dyDescent="0.25">
      <c r="J334" s="3">
        <v>328</v>
      </c>
      <c r="K334" s="7">
        <v>0.28941484952860574</v>
      </c>
      <c r="L334" s="7">
        <f t="shared" si="90"/>
        <v>6.6145578460108753E-2</v>
      </c>
      <c r="M334" s="7">
        <f t="shared" ca="1" si="85"/>
        <v>0.55308609408168563</v>
      </c>
      <c r="N334" s="7">
        <f t="shared" si="86"/>
        <v>0.28941484952860574</v>
      </c>
      <c r="O334" s="7">
        <v>-0.31016051465067823</v>
      </c>
      <c r="P334" s="7">
        <f t="shared" si="87"/>
        <v>6.5913046241035556E-2</v>
      </c>
      <c r="Q334" s="7">
        <f t="shared" si="91"/>
        <v>0.37607356089171379</v>
      </c>
      <c r="R334" s="7">
        <f t="shared" si="88"/>
        <v>-0.30151419486727971</v>
      </c>
      <c r="S334" s="7">
        <f t="shared" si="92"/>
        <v>7.9546142007266441E-3</v>
      </c>
      <c r="T334" s="7">
        <f t="shared" si="93"/>
        <v>0</v>
      </c>
      <c r="U334" s="7">
        <f t="shared" si="89"/>
        <v>0.35862828720406892</v>
      </c>
      <c r="V334" s="7">
        <f t="shared" si="94"/>
        <v>6.3534936176200985E-2</v>
      </c>
      <c r="W334" s="7">
        <f t="shared" si="95"/>
        <v>0</v>
      </c>
      <c r="X334" s="8" t="s">
        <v>3</v>
      </c>
      <c r="Y334" s="7">
        <v>0.28941484952860574</v>
      </c>
      <c r="Z334" s="7">
        <v>6.5913046241035556E-2</v>
      </c>
      <c r="AC334" s="7">
        <f t="shared" si="96"/>
        <v>0.36742724110831526</v>
      </c>
      <c r="AD334" s="7">
        <f t="shared" si="97"/>
        <v>0.29271524096303336</v>
      </c>
      <c r="AE334" s="6" t="s">
        <v>3</v>
      </c>
      <c r="AF334" s="6" t="s">
        <v>3</v>
      </c>
      <c r="AG334" s="6" t="s">
        <v>3</v>
      </c>
      <c r="AH334" s="6" t="s">
        <v>3</v>
      </c>
      <c r="AI334" s="6" t="s">
        <v>3</v>
      </c>
      <c r="AJ334" s="6" t="s">
        <v>3</v>
      </c>
      <c r="AK334" s="5">
        <f t="shared" si="98"/>
        <v>645.92997983531382</v>
      </c>
      <c r="AL334" s="7">
        <f t="shared" si="99"/>
        <v>-0.30151419486727971</v>
      </c>
      <c r="AM334" s="7">
        <f t="shared" si="100"/>
        <v>0.35862828720406892</v>
      </c>
    </row>
    <row r="335" spans="10:39" x14ac:dyDescent="0.25">
      <c r="J335" s="3">
        <v>329</v>
      </c>
      <c r="K335" s="7">
        <v>0.29676009085199784</v>
      </c>
      <c r="L335" s="7">
        <f t="shared" si="90"/>
        <v>7.1904862688464369E-2</v>
      </c>
      <c r="M335" s="7">
        <f t="shared" ca="1" si="85"/>
        <v>1.6769159116633556E-2</v>
      </c>
      <c r="N335" s="7">
        <f t="shared" si="86"/>
        <v>0.29676009085199784</v>
      </c>
      <c r="O335" s="7">
        <v>-0.1722725555160165</v>
      </c>
      <c r="P335" s="7">
        <f t="shared" si="87"/>
        <v>7.0700646886630913E-2</v>
      </c>
      <c r="Q335" s="7">
        <f t="shared" si="91"/>
        <v>0.24297320240264741</v>
      </c>
      <c r="R335" s="7">
        <f t="shared" si="88"/>
        <v>-0.29994314096021757</v>
      </c>
      <c r="S335" s="7">
        <f t="shared" si="92"/>
        <v>-1.0213646835536086E-2</v>
      </c>
      <c r="T335" s="7">
        <f t="shared" si="93"/>
        <v>1</v>
      </c>
      <c r="U335" s="7">
        <f t="shared" si="89"/>
        <v>0.36466948552091738</v>
      </c>
      <c r="V335" s="7">
        <f t="shared" si="94"/>
        <v>5.1009493898508722E-2</v>
      </c>
      <c r="W335" s="7">
        <f t="shared" si="95"/>
        <v>0</v>
      </c>
      <c r="X335" s="8" t="s">
        <v>3</v>
      </c>
      <c r="Y335" s="7">
        <v>0.29676009085199784</v>
      </c>
      <c r="Z335" s="7">
        <v>7.0700646886630913E-2</v>
      </c>
      <c r="AC335" s="7">
        <f t="shared" si="96"/>
        <v>0.37064378784684848</v>
      </c>
      <c r="AD335" s="7">
        <f t="shared" si="97"/>
        <v>0.29396883863428647</v>
      </c>
      <c r="AE335" s="6" t="s">
        <v>3</v>
      </c>
      <c r="AF335" s="6" t="s">
        <v>3</v>
      </c>
      <c r="AG335" s="6" t="s">
        <v>3</v>
      </c>
      <c r="AH335" s="6" t="s">
        <v>3</v>
      </c>
      <c r="AI335" s="6" t="s">
        <v>3</v>
      </c>
      <c r="AJ335" s="6" t="s">
        <v>3</v>
      </c>
      <c r="AK335" s="5">
        <f t="shared" si="98"/>
        <v>649.62189315693843</v>
      </c>
      <c r="AL335" s="7">
        <f t="shared" si="99"/>
        <v>-0.29994314096021757</v>
      </c>
      <c r="AM335" s="7">
        <f t="shared" si="100"/>
        <v>0.36466948552091738</v>
      </c>
    </row>
    <row r="336" spans="10:39" x14ac:dyDescent="0.25">
      <c r="J336" s="3">
        <v>330</v>
      </c>
      <c r="K336" s="7">
        <v>0.30392968561399147</v>
      </c>
      <c r="L336" s="7">
        <f t="shared" si="90"/>
        <v>7.7804251260833138E-2</v>
      </c>
      <c r="M336" s="7">
        <f t="shared" ca="1" si="85"/>
        <v>0.39126582308238367</v>
      </c>
      <c r="N336" s="7">
        <f t="shared" si="86"/>
        <v>0.30392968561399147</v>
      </c>
      <c r="O336" s="7">
        <v>6.637104254432738E-2</v>
      </c>
      <c r="P336" s="7">
        <f t="shared" si="87"/>
        <v>7.5637030924042836E-2</v>
      </c>
      <c r="Q336" s="7">
        <f t="shared" si="91"/>
        <v>9.2659883797154563E-3</v>
      </c>
      <c r="R336" s="7">
        <f t="shared" si="88"/>
        <v>-0.29827255174362755</v>
      </c>
      <c r="S336" s="7">
        <f t="shared" si="92"/>
        <v>-2.9171487543036393E-2</v>
      </c>
      <c r="T336" s="7">
        <f t="shared" si="93"/>
        <v>1</v>
      </c>
      <c r="U336" s="7">
        <f t="shared" si="89"/>
        <v>0.37115947934691906</v>
      </c>
      <c r="V336" s="7">
        <f t="shared" si="94"/>
        <v>2.8954901496246212E-2</v>
      </c>
      <c r="W336" s="7">
        <f t="shared" si="95"/>
        <v>0</v>
      </c>
      <c r="X336" s="8" t="s">
        <v>3</v>
      </c>
      <c r="Y336" s="7">
        <v>0.30392968561399147</v>
      </c>
      <c r="Z336" s="7">
        <v>7.5637030924042836E-2</v>
      </c>
      <c r="AC336" s="7">
        <f t="shared" si="96"/>
        <v>0.37390958266767038</v>
      </c>
      <c r="AD336" s="7">
        <f t="shared" si="97"/>
        <v>0.29552244842287623</v>
      </c>
      <c r="AE336" s="6" t="s">
        <v>3</v>
      </c>
      <c r="AF336" s="6" t="s">
        <v>3</v>
      </c>
      <c r="AG336" s="6" t="s">
        <v>3</v>
      </c>
      <c r="AH336" s="6" t="s">
        <v>3</v>
      </c>
      <c r="AI336" s="6" t="s">
        <v>3</v>
      </c>
      <c r="AJ336" s="6" t="s">
        <v>3</v>
      </c>
      <c r="AK336" s="5">
        <f t="shared" si="98"/>
        <v>653.22552185299719</v>
      </c>
      <c r="AL336" s="7">
        <f t="shared" si="99"/>
        <v>-0.29827255174362755</v>
      </c>
      <c r="AM336" s="7">
        <f t="shared" si="100"/>
        <v>0.37115947934691906</v>
      </c>
    </row>
    <row r="337" spans="10:39" x14ac:dyDescent="0.25">
      <c r="J337" s="3">
        <v>331</v>
      </c>
      <c r="K337" s="7">
        <v>0.30472526103078335</v>
      </c>
      <c r="L337" s="7">
        <f t="shared" si="90"/>
        <v>7.8475778712352853E-2</v>
      </c>
      <c r="M337" s="7">
        <f t="shared" ca="1" si="85"/>
        <v>-4.3933677599460125E-2</v>
      </c>
      <c r="N337" s="7">
        <f t="shared" si="86"/>
        <v>0.30472526103078335</v>
      </c>
      <c r="O337" s="7">
        <v>0.1165040271996662</v>
      </c>
      <c r="P337" s="7">
        <f t="shared" si="87"/>
        <v>7.6201238299690832E-2</v>
      </c>
      <c r="Q337" s="7">
        <f t="shared" si="91"/>
        <v>-4.0302788899975364E-2</v>
      </c>
      <c r="R337" s="7">
        <f t="shared" si="88"/>
        <v>-0.29807833510836623</v>
      </c>
      <c r="S337" s="7">
        <f t="shared" si="92"/>
        <v>-3.3166588984642593E-2</v>
      </c>
      <c r="T337" s="7">
        <f t="shared" si="93"/>
        <v>1</v>
      </c>
      <c r="U337" s="7">
        <f t="shared" si="89"/>
        <v>0.37191687648804406</v>
      </c>
      <c r="V337" s="7">
        <f t="shared" si="94"/>
        <v>2.42642206823959E-2</v>
      </c>
      <c r="W337" s="7">
        <f t="shared" si="95"/>
        <v>0</v>
      </c>
      <c r="X337" s="8" t="s">
        <v>3</v>
      </c>
      <c r="Y337" s="7">
        <v>0.30472526103078335</v>
      </c>
      <c r="Z337" s="7">
        <v>7.6201238299690832E-2</v>
      </c>
      <c r="AC337" s="7">
        <f t="shared" si="96"/>
        <v>0.37427957340805706</v>
      </c>
      <c r="AD337" s="7">
        <f t="shared" si="97"/>
        <v>0.29571563818835322</v>
      </c>
      <c r="AE337" s="6" t="s">
        <v>3</v>
      </c>
      <c r="AF337" s="6" t="s">
        <v>3</v>
      </c>
      <c r="AG337" s="6" t="s">
        <v>3</v>
      </c>
      <c r="AH337" s="6" t="s">
        <v>3</v>
      </c>
      <c r="AI337" s="6" t="s">
        <v>3</v>
      </c>
      <c r="AJ337" s="6" t="s">
        <v>3</v>
      </c>
      <c r="AK337" s="5">
        <f t="shared" si="98"/>
        <v>653.62539918177299</v>
      </c>
      <c r="AL337" s="7">
        <f t="shared" si="99"/>
        <v>-0.29807833510836623</v>
      </c>
      <c r="AM337" s="7">
        <f t="shared" si="100"/>
        <v>0.37191687648804406</v>
      </c>
    </row>
    <row r="338" spans="10:39" x14ac:dyDescent="0.25">
      <c r="J338" s="3">
        <v>332</v>
      </c>
      <c r="K338" s="7">
        <v>0.30482938716376795</v>
      </c>
      <c r="L338" s="7">
        <f t="shared" si="90"/>
        <v>7.8563918817391373E-2</v>
      </c>
      <c r="M338" s="7">
        <f t="shared" ca="1" si="85"/>
        <v>0.45431117177870861</v>
      </c>
      <c r="N338" s="7">
        <f t="shared" si="86"/>
        <v>0.30482938716376795</v>
      </c>
      <c r="O338" s="7">
        <v>2.8267594936619955E-2</v>
      </c>
      <c r="P338" s="7">
        <f t="shared" si="87"/>
        <v>7.6275328821040045E-2</v>
      </c>
      <c r="Q338" s="7">
        <f t="shared" si="91"/>
        <v>4.800773388442009E-2</v>
      </c>
      <c r="R338" s="7">
        <f t="shared" si="88"/>
        <v>-0.29805278104593036</v>
      </c>
      <c r="S338" s="7">
        <f t="shared" si="92"/>
        <v>-2.6105630078604027E-2</v>
      </c>
      <c r="T338" s="7">
        <f t="shared" si="93"/>
        <v>1</v>
      </c>
      <c r="U338" s="7">
        <f t="shared" si="89"/>
        <v>0.3720165650007683</v>
      </c>
      <c r="V338" s="7">
        <f t="shared" si="94"/>
        <v>3.265615215609409E-2</v>
      </c>
      <c r="W338" s="7">
        <f t="shared" si="95"/>
        <v>0</v>
      </c>
      <c r="X338" s="8" t="s">
        <v>3</v>
      </c>
      <c r="Y338" s="7">
        <v>0.30482938716376795</v>
      </c>
      <c r="Z338" s="7">
        <v>7.6275328821040045E-2</v>
      </c>
      <c r="AC338" s="7">
        <f t="shared" si="96"/>
        <v>0.3743281098669704</v>
      </c>
      <c r="AD338" s="7">
        <f t="shared" si="97"/>
        <v>0.29574123617972825</v>
      </c>
      <c r="AE338" s="6" t="s">
        <v>3</v>
      </c>
      <c r="AF338" s="6" t="s">
        <v>3</v>
      </c>
      <c r="AG338" s="6" t="s">
        <v>3</v>
      </c>
      <c r="AH338" s="6" t="s">
        <v>3</v>
      </c>
      <c r="AI338" s="6" t="s">
        <v>3</v>
      </c>
      <c r="AJ338" s="6" t="s">
        <v>3</v>
      </c>
      <c r="AK338" s="5">
        <f t="shared" si="98"/>
        <v>653.67773574099124</v>
      </c>
      <c r="AL338" s="7">
        <f t="shared" si="99"/>
        <v>-0.29805278104593036</v>
      </c>
      <c r="AM338" s="7">
        <f t="shared" si="100"/>
        <v>0.3720165650007683</v>
      </c>
    </row>
    <row r="339" spans="10:39" x14ac:dyDescent="0.25">
      <c r="J339" s="3">
        <v>333</v>
      </c>
      <c r="K339" s="7">
        <v>0.3054499353391158</v>
      </c>
      <c r="L339" s="7">
        <f t="shared" si="90"/>
        <v>7.9090394549647822E-2</v>
      </c>
      <c r="M339" s="7">
        <f t="shared" ca="1" si="85"/>
        <v>0.20957753798015658</v>
      </c>
      <c r="N339" s="7">
        <f t="shared" si="86"/>
        <v>0.3054499353391158</v>
      </c>
      <c r="O339" s="7">
        <v>1.4074414197832869E-2</v>
      </c>
      <c r="P339" s="7">
        <f t="shared" si="87"/>
        <v>7.6718061911953406E-2</v>
      </c>
      <c r="Q339" s="7">
        <f t="shared" si="91"/>
        <v>6.2643647714120537E-2</v>
      </c>
      <c r="R339" s="7">
        <f t="shared" si="88"/>
        <v>-0.29789983925572994</v>
      </c>
      <c r="S339" s="7">
        <f t="shared" si="92"/>
        <v>-2.4957940276285024E-2</v>
      </c>
      <c r="T339" s="7">
        <f t="shared" si="93"/>
        <v>1</v>
      </c>
      <c r="U339" s="7">
        <f t="shared" si="89"/>
        <v>0.37261335912177085</v>
      </c>
      <c r="V339" s="7">
        <f t="shared" si="94"/>
        <v>3.4061199767774109E-2</v>
      </c>
      <c r="W339" s="7">
        <f t="shared" si="95"/>
        <v>0</v>
      </c>
      <c r="X339" s="8" t="s">
        <v>3</v>
      </c>
      <c r="Y339" s="7">
        <v>0.3054499353391158</v>
      </c>
      <c r="Z339" s="7">
        <v>7.6718061911953406E-2</v>
      </c>
      <c r="AC339" s="7">
        <f t="shared" si="96"/>
        <v>0.37461790116768334</v>
      </c>
      <c r="AD339" s="7">
        <f t="shared" si="97"/>
        <v>0.29589529720981744</v>
      </c>
      <c r="AE339" s="6" t="s">
        <v>3</v>
      </c>
      <c r="AF339" s="6" t="s">
        <v>3</v>
      </c>
      <c r="AG339" s="6" t="s">
        <v>3</v>
      </c>
      <c r="AH339" s="6" t="s">
        <v>3</v>
      </c>
      <c r="AI339" s="6" t="s">
        <v>3</v>
      </c>
      <c r="AJ339" s="6" t="s">
        <v>3</v>
      </c>
      <c r="AK339" s="5">
        <f t="shared" si="98"/>
        <v>653.98963973085483</v>
      </c>
      <c r="AL339" s="7">
        <f t="shared" si="99"/>
        <v>-0.29789983925572994</v>
      </c>
      <c r="AM339" s="7">
        <f t="shared" si="100"/>
        <v>0.37261335912177085</v>
      </c>
    </row>
    <row r="340" spans="10:39" x14ac:dyDescent="0.25">
      <c r="J340" s="3">
        <v>334</v>
      </c>
      <c r="K340" s="7">
        <v>0.31105906082138612</v>
      </c>
      <c r="L340" s="7">
        <f t="shared" si="90"/>
        <v>8.394212305007237E-2</v>
      </c>
      <c r="M340" s="7">
        <f t="shared" ca="1" si="85"/>
        <v>7.8467098367908647E-2</v>
      </c>
      <c r="N340" s="7">
        <f t="shared" si="86"/>
        <v>0.31105906082138612</v>
      </c>
      <c r="O340" s="7">
        <v>8.5898781524119172E-2</v>
      </c>
      <c r="P340" s="7">
        <f t="shared" si="87"/>
        <v>8.081286894232198E-2</v>
      </c>
      <c r="Q340" s="7">
        <f t="shared" si="91"/>
        <v>-5.0859125817971917E-3</v>
      </c>
      <c r="R340" s="7">
        <f t="shared" si="88"/>
        <v>-0.29646563758196454</v>
      </c>
      <c r="S340" s="7">
        <f t="shared" si="92"/>
        <v>-3.0589153528486696E-2</v>
      </c>
      <c r="T340" s="7">
        <f t="shared" si="93"/>
        <v>1</v>
      </c>
      <c r="U340" s="7">
        <f t="shared" si="89"/>
        <v>0.37821956732171502</v>
      </c>
      <c r="V340" s="7">
        <f t="shared" si="94"/>
        <v>2.7770474650771607E-2</v>
      </c>
      <c r="W340" s="7">
        <f t="shared" si="95"/>
        <v>0</v>
      </c>
      <c r="X340" s="8" t="s">
        <v>3</v>
      </c>
      <c r="Y340" s="7">
        <v>0.31105906082138612</v>
      </c>
      <c r="Z340" s="7">
        <v>8.081286894232198E-2</v>
      </c>
      <c r="AC340" s="7">
        <f t="shared" si="96"/>
        <v>0.37727850652428652</v>
      </c>
      <c r="AD340" s="7">
        <f t="shared" si="97"/>
        <v>0.29740669837939304</v>
      </c>
      <c r="AE340" s="6" t="s">
        <v>3</v>
      </c>
      <c r="AF340" s="6" t="s">
        <v>3</v>
      </c>
      <c r="AG340" s="6" t="s">
        <v>3</v>
      </c>
      <c r="AH340" s="6" t="s">
        <v>3</v>
      </c>
      <c r="AI340" s="6" t="s">
        <v>3</v>
      </c>
      <c r="AJ340" s="6" t="s">
        <v>3</v>
      </c>
      <c r="AK340" s="5">
        <f t="shared" si="98"/>
        <v>656.80893513299611</v>
      </c>
      <c r="AL340" s="7">
        <f t="shared" si="99"/>
        <v>-0.29646563758196454</v>
      </c>
      <c r="AM340" s="7">
        <f t="shared" si="100"/>
        <v>0.37821956732171502</v>
      </c>
    </row>
    <row r="341" spans="10:39" x14ac:dyDescent="0.25">
      <c r="J341" s="3">
        <v>335</v>
      </c>
      <c r="K341" s="7">
        <v>0.3126429389452392</v>
      </c>
      <c r="L341" s="7">
        <f t="shared" si="90"/>
        <v>8.534236315508277E-2</v>
      </c>
      <c r="M341" s="7">
        <f t="shared" ca="1" si="85"/>
        <v>0.28678507632529282</v>
      </c>
      <c r="N341" s="7">
        <f t="shared" si="86"/>
        <v>0.3126429389452392</v>
      </c>
      <c r="O341" s="7">
        <v>-0.16034027443708035</v>
      </c>
      <c r="P341" s="7">
        <f t="shared" si="87"/>
        <v>8.1999805214412635E-2</v>
      </c>
      <c r="Q341" s="7">
        <f t="shared" si="91"/>
        <v>0.24234007965149298</v>
      </c>
      <c r="R341" s="7">
        <f t="shared" si="88"/>
        <v>-0.29604326861341157</v>
      </c>
      <c r="S341" s="7">
        <f t="shared" si="92"/>
        <v>-1.0856239534106497E-2</v>
      </c>
      <c r="T341" s="7">
        <f t="shared" si="93"/>
        <v>1</v>
      </c>
      <c r="U341" s="7">
        <f t="shared" si="89"/>
        <v>0.37987272263440541</v>
      </c>
      <c r="V341" s="7">
        <f t="shared" si="94"/>
        <v>5.1320234721791147E-2</v>
      </c>
      <c r="W341" s="7">
        <f t="shared" si="95"/>
        <v>0</v>
      </c>
      <c r="X341" s="8" t="s">
        <v>3</v>
      </c>
      <c r="Y341" s="7">
        <v>0.3126429389452392</v>
      </c>
      <c r="Z341" s="7">
        <v>8.1999805214412635E-2</v>
      </c>
      <c r="AC341" s="7">
        <f t="shared" si="96"/>
        <v>0.37804307382782421</v>
      </c>
      <c r="AD341" s="7">
        <f t="shared" si="97"/>
        <v>0.29787291741999278</v>
      </c>
      <c r="AE341" s="6" t="s">
        <v>3</v>
      </c>
      <c r="AF341" s="6" t="s">
        <v>3</v>
      </c>
      <c r="AG341" s="6" t="s">
        <v>3</v>
      </c>
      <c r="AH341" s="6" t="s">
        <v>3</v>
      </c>
      <c r="AI341" s="6" t="s">
        <v>3</v>
      </c>
      <c r="AJ341" s="6" t="s">
        <v>3</v>
      </c>
      <c r="AK341" s="5">
        <f t="shared" si="98"/>
        <v>657.60503433353028</v>
      </c>
      <c r="AL341" s="7">
        <f t="shared" si="99"/>
        <v>-0.29604326861341157</v>
      </c>
      <c r="AM341" s="7">
        <f t="shared" si="100"/>
        <v>0.37987272263440541</v>
      </c>
    </row>
    <row r="342" spans="10:39" x14ac:dyDescent="0.25">
      <c r="J342" s="3">
        <v>336</v>
      </c>
      <c r="K342" s="7">
        <v>0.31362756381816648</v>
      </c>
      <c r="L342" s="7">
        <f t="shared" si="90"/>
        <v>8.6219522103711518E-2</v>
      </c>
      <c r="M342" s="7">
        <f t="shared" ca="1" si="85"/>
        <v>7.6765247346264692E-2</v>
      </c>
      <c r="N342" s="7">
        <f t="shared" si="86"/>
        <v>0.31362756381816648</v>
      </c>
      <c r="O342" s="7">
        <v>-0.44814862109134712</v>
      </c>
      <c r="P342" s="7">
        <f t="shared" si="87"/>
        <v>8.2744558625375664E-2</v>
      </c>
      <c r="Q342" s="7">
        <f t="shared" si="91"/>
        <v>0.53089317971672279</v>
      </c>
      <c r="R342" s="7">
        <f t="shared" si="88"/>
        <v>-0.29577672014125422</v>
      </c>
      <c r="S342" s="7">
        <f t="shared" si="92"/>
        <v>0.14018214887408548</v>
      </c>
      <c r="T342" s="7">
        <f t="shared" si="93"/>
        <v>0</v>
      </c>
      <c r="U342" s="7">
        <f t="shared" si="89"/>
        <v>0.38091621929824404</v>
      </c>
      <c r="V342" s="7">
        <f t="shared" si="94"/>
        <v>7.8761159837011166E-2</v>
      </c>
      <c r="W342" s="7">
        <f t="shared" si="95"/>
        <v>0</v>
      </c>
      <c r="X342" s="8" t="s">
        <v>3</v>
      </c>
      <c r="Y342" s="7">
        <v>0.31362756381816648</v>
      </c>
      <c r="Z342" s="7">
        <v>8.2744558625375664E-2</v>
      </c>
      <c r="AC342" s="7">
        <f t="shared" si="96"/>
        <v>0.37852127876662989</v>
      </c>
      <c r="AD342" s="7">
        <f t="shared" si="97"/>
        <v>0.29817166067286838</v>
      </c>
      <c r="AE342" s="6" t="s">
        <v>3</v>
      </c>
      <c r="AF342" s="6" t="s">
        <v>3</v>
      </c>
      <c r="AG342" s="6" t="s">
        <v>3</v>
      </c>
      <c r="AH342" s="6" t="s">
        <v>3</v>
      </c>
      <c r="AI342" s="6" t="s">
        <v>3</v>
      </c>
      <c r="AJ342" s="6" t="s">
        <v>3</v>
      </c>
      <c r="AK342" s="5">
        <f t="shared" si="98"/>
        <v>658.09993293864295</v>
      </c>
      <c r="AL342" s="7">
        <f t="shared" si="99"/>
        <v>-0.29577672014125422</v>
      </c>
      <c r="AM342" s="7">
        <f t="shared" si="100"/>
        <v>0.38091621929824404</v>
      </c>
    </row>
    <row r="343" spans="10:39" x14ac:dyDescent="0.25">
      <c r="J343" s="3">
        <v>337</v>
      </c>
      <c r="K343" s="7">
        <v>0.31933151892462819</v>
      </c>
      <c r="L343" s="7">
        <f t="shared" si="90"/>
        <v>9.1401568108438747E-2</v>
      </c>
      <c r="M343" s="7">
        <f t="shared" ca="1" si="85"/>
        <v>1.5102304912768011E-2</v>
      </c>
      <c r="N343" s="7">
        <f t="shared" si="86"/>
        <v>0.31933151892462819</v>
      </c>
      <c r="O343" s="7">
        <v>-0.12958017161453725</v>
      </c>
      <c r="P343" s="7">
        <f t="shared" si="87"/>
        <v>8.7164086347772951E-2</v>
      </c>
      <c r="Q343" s="7">
        <f t="shared" si="91"/>
        <v>0.2167442579623102</v>
      </c>
      <c r="R343" s="7">
        <f t="shared" si="88"/>
        <v>-0.29417060788125227</v>
      </c>
      <c r="S343" s="7">
        <f t="shared" si="92"/>
        <v>-1.3167234901337201E-2</v>
      </c>
      <c r="T343" s="7">
        <f t="shared" si="93"/>
        <v>1</v>
      </c>
      <c r="U343" s="7">
        <f t="shared" si="89"/>
        <v>0.38720338760340667</v>
      </c>
      <c r="V343" s="7">
        <f t="shared" si="94"/>
        <v>4.9094438125704673E-2</v>
      </c>
      <c r="W343" s="7">
        <f t="shared" si="95"/>
        <v>0</v>
      </c>
      <c r="X343" s="8" t="s">
        <v>3</v>
      </c>
      <c r="Y343" s="7">
        <v>0.31933151892462819</v>
      </c>
      <c r="Z343" s="7">
        <v>8.7164086347772951E-2</v>
      </c>
      <c r="AC343" s="7">
        <f t="shared" si="96"/>
        <v>0.38133469422902522</v>
      </c>
      <c r="AD343" s="7">
        <f t="shared" si="97"/>
        <v>0.30003930125563372</v>
      </c>
      <c r="AE343" s="6" t="s">
        <v>3</v>
      </c>
      <c r="AF343" s="6" t="s">
        <v>3</v>
      </c>
      <c r="AG343" s="6" t="s">
        <v>3</v>
      </c>
      <c r="AH343" s="6" t="s">
        <v>3</v>
      </c>
      <c r="AI343" s="6" t="s">
        <v>3</v>
      </c>
      <c r="AJ343" s="6" t="s">
        <v>3</v>
      </c>
      <c r="AK343" s="5">
        <f t="shared" si="98"/>
        <v>660.96689222784005</v>
      </c>
      <c r="AL343" s="7">
        <f t="shared" si="99"/>
        <v>-0.29417060788125227</v>
      </c>
      <c r="AM343" s="7">
        <f t="shared" si="100"/>
        <v>0.38720338760340667</v>
      </c>
    </row>
    <row r="344" spans="10:39" x14ac:dyDescent="0.25">
      <c r="J344" s="3">
        <v>338</v>
      </c>
      <c r="K344" s="7">
        <v>0.32562059763942086</v>
      </c>
      <c r="L344" s="7">
        <f t="shared" si="90"/>
        <v>9.7312938738952692E-2</v>
      </c>
      <c r="M344" s="7">
        <f t="shared" ca="1" si="85"/>
        <v>9.5918579767031442E-3</v>
      </c>
      <c r="N344" s="7">
        <f t="shared" si="86"/>
        <v>0.32562059763942086</v>
      </c>
      <c r="O344" s="7">
        <v>0.21782293623824317</v>
      </c>
      <c r="P344" s="7">
        <f t="shared" si="87"/>
        <v>9.2248563483386725E-2</v>
      </c>
      <c r="Q344" s="7">
        <f t="shared" si="91"/>
        <v>-0.12557437275485644</v>
      </c>
      <c r="R344" s="9">
        <f t="shared" si="88"/>
        <v>-0.29227090000949651</v>
      </c>
      <c r="S344" s="7">
        <f t="shared" si="92"/>
        <v>-4.0807506899819171E-2</v>
      </c>
      <c r="T344" s="7">
        <f t="shared" si="93"/>
        <v>1</v>
      </c>
      <c r="U344" s="9">
        <f t="shared" si="89"/>
        <v>0.3946258505948097</v>
      </c>
      <c r="V344" s="7">
        <f t="shared" si="94"/>
        <v>1.6796276863873822E-2</v>
      </c>
      <c r="W344" s="7">
        <f t="shared" si="95"/>
        <v>0</v>
      </c>
      <c r="X344" s="8" t="s">
        <v>3</v>
      </c>
      <c r="Y344" s="9">
        <v>0.32562059763942086</v>
      </c>
      <c r="Z344" s="7">
        <v>9.2248563483386725E-2</v>
      </c>
      <c r="AC344" s="7">
        <f t="shared" si="96"/>
        <v>0.38451946349288324</v>
      </c>
      <c r="AD344" s="7">
        <f t="shared" si="97"/>
        <v>0.30237728711142298</v>
      </c>
      <c r="AE344" s="6" t="s">
        <v>3</v>
      </c>
      <c r="AF344" s="6" t="s">
        <v>3</v>
      </c>
      <c r="AG344" s="6" t="s">
        <v>3</v>
      </c>
      <c r="AH344" s="6" t="s">
        <v>3</v>
      </c>
      <c r="AI344" s="6" t="s">
        <v>3</v>
      </c>
      <c r="AJ344" s="6" t="s">
        <v>3</v>
      </c>
      <c r="AK344" s="5">
        <f t="shared" si="98"/>
        <v>664.12795017891722</v>
      </c>
      <c r="AL344" s="7">
        <f t="shared" si="99"/>
        <v>-0.29227090000949651</v>
      </c>
      <c r="AM344" s="7">
        <f t="shared" si="100"/>
        <v>0.3946258505948097</v>
      </c>
    </row>
    <row r="345" spans="10:39" x14ac:dyDescent="0.25">
      <c r="J345" s="3">
        <v>339</v>
      </c>
      <c r="K345" s="7">
        <v>0.32991674218500644</v>
      </c>
      <c r="L345" s="7">
        <f t="shared" si="90"/>
        <v>0.10146916810567756</v>
      </c>
      <c r="M345" s="7">
        <f t="shared" ca="1" si="85"/>
        <v>-6.9677252313327109E-3</v>
      </c>
      <c r="N345" s="7">
        <f t="shared" si="86"/>
        <v>0.32991674218500644</v>
      </c>
      <c r="O345" s="7">
        <v>-4.2759214238847348E-2</v>
      </c>
      <c r="P345" s="7">
        <f t="shared" si="87"/>
        <v>9.5852088736595231E-2</v>
      </c>
      <c r="Q345" s="7">
        <f t="shared" si="91"/>
        <v>0.13861130297544258</v>
      </c>
      <c r="R345" s="7">
        <f t="shared" si="88"/>
        <v>-0.2908904976146145</v>
      </c>
      <c r="S345" s="7">
        <f t="shared" si="92"/>
        <v>-1.9850502670061373E-2</v>
      </c>
      <c r="T345" s="7">
        <f t="shared" si="93"/>
        <v>1</v>
      </c>
      <c r="U345" s="7">
        <f t="shared" si="89"/>
        <v>0.40000057495916863</v>
      </c>
      <c r="V345" s="7">
        <f t="shared" si="94"/>
        <v>4.2062179973811516E-2</v>
      </c>
      <c r="W345" s="7">
        <f t="shared" si="95"/>
        <v>0</v>
      </c>
      <c r="X345" s="8" t="s">
        <v>3</v>
      </c>
      <c r="Y345" s="7">
        <v>0.32991674218500644</v>
      </c>
      <c r="Z345" s="7">
        <v>9.5852088736595231E-2</v>
      </c>
      <c r="AC345" s="7">
        <f t="shared" si="96"/>
        <v>0.38674258635120973</v>
      </c>
      <c r="AD345" s="7">
        <f t="shared" si="97"/>
        <v>0.3041484862225734</v>
      </c>
      <c r="AE345" s="6" t="s">
        <v>3</v>
      </c>
      <c r="AF345" s="6" t="s">
        <v>3</v>
      </c>
      <c r="AG345" s="6" t="s">
        <v>3</v>
      </c>
      <c r="AH345" s="6" t="s">
        <v>3</v>
      </c>
      <c r="AI345" s="6" t="s">
        <v>3</v>
      </c>
      <c r="AJ345" s="6" t="s">
        <v>3</v>
      </c>
      <c r="AK345" s="5">
        <f t="shared" si="98"/>
        <v>666.28730649971772</v>
      </c>
      <c r="AL345" s="7">
        <f t="shared" si="99"/>
        <v>-0.2908904976146145</v>
      </c>
      <c r="AM345" s="7">
        <f t="shared" si="100"/>
        <v>0.40000057495916863</v>
      </c>
    </row>
    <row r="346" spans="10:39" x14ac:dyDescent="0.25">
      <c r="J346" s="3">
        <v>340</v>
      </c>
      <c r="K346" s="7">
        <v>0.33860151839900077</v>
      </c>
      <c r="L346" s="7">
        <f t="shared" si="90"/>
        <v>0.11015979192237646</v>
      </c>
      <c r="M346" s="7">
        <f t="shared" ca="1" si="85"/>
        <v>0.15151842333570384</v>
      </c>
      <c r="N346" s="7">
        <f t="shared" si="86"/>
        <v>0.33860151839900077</v>
      </c>
      <c r="O346" s="7">
        <v>7.6452060376778513E-2</v>
      </c>
      <c r="P346" s="7">
        <f t="shared" si="87"/>
        <v>0.10346698237880059</v>
      </c>
      <c r="Q346" s="7">
        <f t="shared" si="91"/>
        <v>2.7014922002022074E-2</v>
      </c>
      <c r="R346" s="7">
        <f t="shared" si="88"/>
        <v>-0.28787915738916237</v>
      </c>
      <c r="S346" s="7">
        <f t="shared" si="92"/>
        <v>-2.9146497421275272E-2</v>
      </c>
      <c r="T346" s="7">
        <f t="shared" si="93"/>
        <v>1</v>
      </c>
      <c r="U346" s="7">
        <f t="shared" si="89"/>
        <v>0.41164528666289391</v>
      </c>
      <c r="V346" s="7">
        <f t="shared" si="94"/>
        <v>3.1843356497180959E-2</v>
      </c>
      <c r="W346" s="7">
        <f t="shared" si="95"/>
        <v>0</v>
      </c>
      <c r="X346" s="8" t="s">
        <v>3</v>
      </c>
      <c r="Y346" s="7">
        <v>0.33860151839900077</v>
      </c>
      <c r="Z346" s="7">
        <v>0.10346698237880059</v>
      </c>
      <c r="AC346" s="7">
        <f t="shared" si="96"/>
        <v>0.39134613976796295</v>
      </c>
      <c r="AD346" s="7">
        <f t="shared" si="97"/>
        <v>0.30817830428409332</v>
      </c>
      <c r="AE346" s="6" t="s">
        <v>3</v>
      </c>
      <c r="AF346" s="6" t="s">
        <v>3</v>
      </c>
      <c r="AG346" s="6" t="s">
        <v>3</v>
      </c>
      <c r="AH346" s="6" t="s">
        <v>3</v>
      </c>
      <c r="AI346" s="6" t="s">
        <v>3</v>
      </c>
      <c r="AJ346" s="6" t="s">
        <v>3</v>
      </c>
      <c r="AK346" s="5">
        <f t="shared" si="98"/>
        <v>670.65250562498841</v>
      </c>
      <c r="AL346" s="7">
        <f t="shared" si="99"/>
        <v>-0.28787915738916237</v>
      </c>
      <c r="AM346" s="7">
        <f t="shared" si="100"/>
        <v>0.41164528666289391</v>
      </c>
    </row>
    <row r="347" spans="10:39" x14ac:dyDescent="0.25">
      <c r="J347" s="3">
        <v>341</v>
      </c>
      <c r="K347" s="7">
        <v>0.3449119226318158</v>
      </c>
      <c r="L347" s="7">
        <f t="shared" si="90"/>
        <v>0.11671262045861884</v>
      </c>
      <c r="M347" s="7">
        <f t="shared" ca="1" si="85"/>
        <v>0.25719884496715356</v>
      </c>
      <c r="N347" s="7">
        <f t="shared" si="86"/>
        <v>0.3449119226318158</v>
      </c>
      <c r="O347" s="7">
        <v>0.14728448796597707</v>
      </c>
      <c r="P347" s="7">
        <f t="shared" si="87"/>
        <v>0.10928284808275457</v>
      </c>
      <c r="Q347" s="7">
        <f t="shared" si="91"/>
        <v>-3.8001639883222499E-2</v>
      </c>
      <c r="R347" s="7">
        <f t="shared" si="88"/>
        <v>-0.28549143723728054</v>
      </c>
      <c r="S347" s="7">
        <f t="shared" si="92"/>
        <v>-3.4622074016260607E-2</v>
      </c>
      <c r="T347" s="7">
        <f t="shared" si="93"/>
        <v>1</v>
      </c>
      <c r="U347" s="7">
        <f t="shared" si="89"/>
        <v>0.42078102873049872</v>
      </c>
      <c r="V347" s="7">
        <f t="shared" si="94"/>
        <v>2.5982171372629561E-2</v>
      </c>
      <c r="W347" s="7">
        <f t="shared" si="95"/>
        <v>0</v>
      </c>
      <c r="X347" s="8" t="s">
        <v>3</v>
      </c>
      <c r="Y347" s="7">
        <v>0.3449119226318158</v>
      </c>
      <c r="Z347" s="7">
        <v>0.10928284808275457</v>
      </c>
      <c r="AC347" s="7">
        <f t="shared" si="96"/>
        <v>0.39477428532003511</v>
      </c>
      <c r="AD347" s="7">
        <f t="shared" si="97"/>
        <v>0.31149818064774415</v>
      </c>
      <c r="AE347" s="6" t="s">
        <v>3</v>
      </c>
      <c r="AF347" s="6" t="s">
        <v>3</v>
      </c>
      <c r="AG347" s="6" t="s">
        <v>3</v>
      </c>
      <c r="AH347" s="6" t="s">
        <v>3</v>
      </c>
      <c r="AI347" s="6" t="s">
        <v>3</v>
      </c>
      <c r="AJ347" s="6" t="s">
        <v>3</v>
      </c>
      <c r="AK347" s="5">
        <f t="shared" si="98"/>
        <v>673.82428234766337</v>
      </c>
      <c r="AL347" s="7">
        <f t="shared" si="99"/>
        <v>-0.28549143723728054</v>
      </c>
      <c r="AM347" s="7">
        <f t="shared" si="100"/>
        <v>0.42078102873049872</v>
      </c>
    </row>
    <row r="348" spans="10:39" x14ac:dyDescent="0.25">
      <c r="J348" s="3">
        <v>342</v>
      </c>
      <c r="K348" s="7">
        <v>0.35225865052387406</v>
      </c>
      <c r="L348" s="7">
        <f t="shared" si="90"/>
        <v>0.12458814485943243</v>
      </c>
      <c r="M348" s="7">
        <f t="shared" ca="1" si="85"/>
        <v>7.0734509794448661E-2</v>
      </c>
      <c r="N348" s="7">
        <f t="shared" si="86"/>
        <v>0.35225865052387406</v>
      </c>
      <c r="O348" s="7">
        <v>0.27007485381999885</v>
      </c>
      <c r="P348" s="7">
        <f t="shared" si="87"/>
        <v>0.11635983846779308</v>
      </c>
      <c r="Q348" s="7">
        <f t="shared" si="91"/>
        <v>-0.15371501535220577</v>
      </c>
      <c r="R348" s="7">
        <f t="shared" si="88"/>
        <v>-0.28248094164284954</v>
      </c>
      <c r="S348" s="7">
        <f t="shared" si="92"/>
        <v>-4.4204463637027874E-2</v>
      </c>
      <c r="T348" s="7">
        <f t="shared" si="93"/>
        <v>1</v>
      </c>
      <c r="U348" s="7">
        <f t="shared" si="89"/>
        <v>0.43215593740928027</v>
      </c>
      <c r="V348" s="7">
        <f t="shared" si="94"/>
        <v>1.5397702940981734E-2</v>
      </c>
      <c r="W348" s="7">
        <f t="shared" si="95"/>
        <v>0</v>
      </c>
      <c r="X348" s="8" t="s">
        <v>3</v>
      </c>
      <c r="Y348" s="7">
        <v>0.35225865052387406</v>
      </c>
      <c r="Z348" s="7">
        <v>0.11635983846779308</v>
      </c>
      <c r="AC348" s="7">
        <f t="shared" si="96"/>
        <v>0.39884078011064261</v>
      </c>
      <c r="AD348" s="7">
        <f t="shared" si="97"/>
        <v>0.31579609894148719</v>
      </c>
      <c r="AE348" s="6" t="s">
        <v>3</v>
      </c>
      <c r="AF348" s="6" t="s">
        <v>3</v>
      </c>
      <c r="AG348" s="6" t="s">
        <v>3</v>
      </c>
      <c r="AH348" s="6" t="s">
        <v>3</v>
      </c>
      <c r="AI348" s="6" t="s">
        <v>3</v>
      </c>
      <c r="AJ348" s="6" t="s">
        <v>3</v>
      </c>
      <c r="AK348" s="5">
        <f t="shared" si="98"/>
        <v>677.51694285817109</v>
      </c>
      <c r="AL348" s="7">
        <f t="shared" si="99"/>
        <v>-0.28248094164284954</v>
      </c>
      <c r="AM348" s="7">
        <f t="shared" si="100"/>
        <v>0.43215593740928027</v>
      </c>
    </row>
    <row r="349" spans="10:39" x14ac:dyDescent="0.25">
      <c r="J349" s="3">
        <v>343</v>
      </c>
      <c r="K349" s="7">
        <v>0.35366811638638618</v>
      </c>
      <c r="L349" s="7">
        <f t="shared" si="90"/>
        <v>0.1261288237243835</v>
      </c>
      <c r="M349" s="7">
        <f t="shared" ca="1" si="85"/>
        <v>0.32155004190302083</v>
      </c>
      <c r="N349" s="7">
        <f t="shared" si="86"/>
        <v>0.35366811638638618</v>
      </c>
      <c r="O349" s="7">
        <v>0.35098942535146926</v>
      </c>
      <c r="P349" s="7">
        <f t="shared" si="87"/>
        <v>0.11775563494185581</v>
      </c>
      <c r="Q349" s="7">
        <f t="shared" si="91"/>
        <v>-0.23323379040961345</v>
      </c>
      <c r="R349" s="7">
        <f t="shared" si="88"/>
        <v>-0.28187333462487096</v>
      </c>
      <c r="S349" s="7">
        <f t="shared" si="92"/>
        <v>-5.0629020798107216E-2</v>
      </c>
      <c r="T349" s="7">
        <f t="shared" si="93"/>
        <v>1</v>
      </c>
      <c r="U349" s="7">
        <f t="shared" si="89"/>
        <v>0.43443090072376167</v>
      </c>
      <c r="V349" s="7">
        <f t="shared" si="94"/>
        <v>7.9269401603677785E-3</v>
      </c>
      <c r="W349" s="7">
        <f t="shared" si="95"/>
        <v>0</v>
      </c>
      <c r="X349" s="8" t="s">
        <v>3</v>
      </c>
      <c r="Y349" s="7">
        <v>0.35366811638638618</v>
      </c>
      <c r="Z349" s="7">
        <v>0.11775563494185581</v>
      </c>
      <c r="AC349" s="7">
        <f t="shared" si="96"/>
        <v>0.39962896956672678</v>
      </c>
      <c r="AD349" s="7">
        <f t="shared" si="97"/>
        <v>0.31667526578190586</v>
      </c>
      <c r="AE349" s="6" t="s">
        <v>3</v>
      </c>
      <c r="AF349" s="6" t="s">
        <v>3</v>
      </c>
      <c r="AG349" s="6" t="s">
        <v>3</v>
      </c>
      <c r="AH349" s="6" t="s">
        <v>3</v>
      </c>
      <c r="AI349" s="6" t="s">
        <v>3</v>
      </c>
      <c r="AJ349" s="6" t="s">
        <v>3</v>
      </c>
      <c r="AK349" s="5">
        <f t="shared" si="98"/>
        <v>678.22537782512188</v>
      </c>
      <c r="AL349" s="7">
        <f t="shared" si="99"/>
        <v>-0.28187333462487096</v>
      </c>
      <c r="AM349" s="7">
        <f t="shared" si="100"/>
        <v>0.43443090072376167</v>
      </c>
    </row>
    <row r="350" spans="10:39" x14ac:dyDescent="0.25">
      <c r="J350" s="3">
        <v>344</v>
      </c>
      <c r="K350" s="7">
        <v>0.35631870937487142</v>
      </c>
      <c r="L350" s="7">
        <f t="shared" si="90"/>
        <v>0.12905171888656225</v>
      </c>
      <c r="M350" s="7">
        <f t="shared" ca="1" si="85"/>
        <v>-0.16247844666708877</v>
      </c>
      <c r="N350" s="7">
        <f t="shared" si="86"/>
        <v>0.35631870937487142</v>
      </c>
      <c r="O350" s="7">
        <v>0.1985418185383398</v>
      </c>
      <c r="P350" s="7">
        <f t="shared" si="87"/>
        <v>0.12041397863258396</v>
      </c>
      <c r="Q350" s="7">
        <f t="shared" si="91"/>
        <v>-7.8127839905755836E-2</v>
      </c>
      <c r="R350" s="7">
        <f t="shared" si="88"/>
        <v>-0.28070333462801234</v>
      </c>
      <c r="S350" s="7">
        <f t="shared" si="92"/>
        <v>-3.8339612253308168E-2</v>
      </c>
      <c r="T350" s="7">
        <f t="shared" si="93"/>
        <v>1</v>
      </c>
      <c r="U350" s="7">
        <f t="shared" si="89"/>
        <v>0.43879105613236069</v>
      </c>
      <c r="V350" s="7">
        <f t="shared" si="94"/>
        <v>2.2823677571431986E-2</v>
      </c>
      <c r="W350" s="7">
        <f t="shared" si="95"/>
        <v>0</v>
      </c>
      <c r="X350" s="8" t="s">
        <v>3</v>
      </c>
      <c r="Y350" s="7">
        <v>0.35631870937487142</v>
      </c>
      <c r="Z350" s="7">
        <v>0.12041397863258396</v>
      </c>
      <c r="AC350" s="7">
        <f t="shared" si="96"/>
        <v>0.4011173132605963</v>
      </c>
      <c r="AD350" s="7">
        <f t="shared" si="97"/>
        <v>0.31837707749977673</v>
      </c>
      <c r="AE350" s="6" t="s">
        <v>3</v>
      </c>
      <c r="AF350" s="6" t="s">
        <v>3</v>
      </c>
      <c r="AG350" s="6" t="s">
        <v>3</v>
      </c>
      <c r="AH350" s="6" t="s">
        <v>3</v>
      </c>
      <c r="AI350" s="6" t="s">
        <v>3</v>
      </c>
      <c r="AJ350" s="6" t="s">
        <v>3</v>
      </c>
      <c r="AK350" s="5">
        <f t="shared" si="98"/>
        <v>679.55763624027156</v>
      </c>
      <c r="AL350" s="7">
        <f t="shared" si="99"/>
        <v>-0.28070333462801234</v>
      </c>
      <c r="AM350" s="7">
        <f t="shared" si="100"/>
        <v>0.43879105613236069</v>
      </c>
    </row>
    <row r="351" spans="10:39" x14ac:dyDescent="0.25">
      <c r="J351" s="3">
        <v>345</v>
      </c>
      <c r="K351" s="7">
        <v>0.36102021486553237</v>
      </c>
      <c r="L351" s="7">
        <f t="shared" si="90"/>
        <v>0.13431720395754818</v>
      </c>
      <c r="M351" s="7">
        <f t="shared" ca="1" si="85"/>
        <v>0.22195030260027007</v>
      </c>
      <c r="N351" s="7">
        <f t="shared" si="86"/>
        <v>0.36102021486553237</v>
      </c>
      <c r="O351" s="7">
        <v>8.9965626516630509E-2</v>
      </c>
      <c r="P351" s="7">
        <f t="shared" si="87"/>
        <v>0.12523722622152977</v>
      </c>
      <c r="Q351" s="7">
        <f t="shared" si="91"/>
        <v>3.5271599704899265E-2</v>
      </c>
      <c r="R351" s="7">
        <f t="shared" si="88"/>
        <v>-0.27853720624411515</v>
      </c>
      <c r="S351" s="7">
        <f t="shared" si="92"/>
        <v>-2.9480226620859657E-2</v>
      </c>
      <c r="T351" s="7">
        <f t="shared" si="93"/>
        <v>1</v>
      </c>
      <c r="U351" s="7">
        <f t="shared" si="89"/>
        <v>0.44679060907199997</v>
      </c>
      <c r="V351" s="7">
        <f t="shared" si="94"/>
        <v>3.3898373342760094E-2</v>
      </c>
      <c r="W351" s="7">
        <f t="shared" si="95"/>
        <v>0</v>
      </c>
      <c r="X351" s="8" t="s">
        <v>3</v>
      </c>
      <c r="Y351" s="7">
        <v>0.36102021486553237</v>
      </c>
      <c r="Z351" s="7">
        <v>0.12523722622152977</v>
      </c>
      <c r="AC351" s="7">
        <f t="shared" si="96"/>
        <v>0.40377443246564493</v>
      </c>
      <c r="AD351" s="7">
        <f t="shared" si="97"/>
        <v>0.32155338285047019</v>
      </c>
      <c r="AE351" s="6" t="s">
        <v>3</v>
      </c>
      <c r="AF351" s="6" t="s">
        <v>3</v>
      </c>
      <c r="AG351" s="6" t="s">
        <v>3</v>
      </c>
      <c r="AH351" s="6" t="s">
        <v>3</v>
      </c>
      <c r="AI351" s="6" t="s">
        <v>3</v>
      </c>
      <c r="AJ351" s="6" t="s">
        <v>3</v>
      </c>
      <c r="AK351" s="5">
        <f t="shared" si="98"/>
        <v>681.92073773530115</v>
      </c>
      <c r="AL351" s="7">
        <f t="shared" si="99"/>
        <v>-0.27853720624411515</v>
      </c>
      <c r="AM351" s="7">
        <f t="shared" si="100"/>
        <v>0.44679060907199997</v>
      </c>
    </row>
    <row r="352" spans="10:39" x14ac:dyDescent="0.25">
      <c r="J352" s="3">
        <v>346</v>
      </c>
      <c r="K352" s="7">
        <v>0.36789250668272988</v>
      </c>
      <c r="L352" s="7">
        <f t="shared" si="90"/>
        <v>0.14219592814145582</v>
      </c>
      <c r="M352" s="7">
        <f t="shared" ca="1" si="85"/>
        <v>-8.0276151700635345E-2</v>
      </c>
      <c r="N352" s="7">
        <f t="shared" si="86"/>
        <v>0.36789250668272988</v>
      </c>
      <c r="O352" s="7">
        <v>4.5914157806663261E-2</v>
      </c>
      <c r="P352" s="7">
        <f t="shared" si="87"/>
        <v>0.13253759902739715</v>
      </c>
      <c r="Q352" s="7">
        <f t="shared" si="91"/>
        <v>8.6623441220733885E-2</v>
      </c>
      <c r="R352" s="7">
        <f t="shared" si="88"/>
        <v>-0.27515040112115496</v>
      </c>
      <c r="S352" s="7">
        <f t="shared" si="92"/>
        <v>-2.5685164714225456E-2</v>
      </c>
      <c r="T352" s="7">
        <f t="shared" si="93"/>
        <v>1</v>
      </c>
      <c r="U352" s="7">
        <f t="shared" si="89"/>
        <v>0.4591035892391031</v>
      </c>
      <c r="V352" s="7">
        <f t="shared" si="94"/>
        <v>3.9252995986081785E-2</v>
      </c>
      <c r="W352" s="7">
        <f t="shared" si="95"/>
        <v>0</v>
      </c>
      <c r="X352" s="8" t="s">
        <v>3</v>
      </c>
      <c r="Y352" s="7">
        <v>0.36789250668272988</v>
      </c>
      <c r="Z352" s="7">
        <v>0.13253759902739715</v>
      </c>
      <c r="AC352" s="7">
        <f t="shared" si="96"/>
        <v>0.40768800014855211</v>
      </c>
      <c r="AD352" s="7">
        <f t="shared" si="97"/>
        <v>0.32656599021170596</v>
      </c>
      <c r="AE352" s="6" t="s">
        <v>3</v>
      </c>
      <c r="AF352" s="6" t="s">
        <v>3</v>
      </c>
      <c r="AG352" s="6" t="s">
        <v>3</v>
      </c>
      <c r="AH352" s="6" t="s">
        <v>3</v>
      </c>
      <c r="AI352" s="6" t="s">
        <v>3</v>
      </c>
      <c r="AJ352" s="6" t="s">
        <v>3</v>
      </c>
      <c r="AK352" s="5">
        <f t="shared" si="98"/>
        <v>685.37493407725151</v>
      </c>
      <c r="AL352" s="7">
        <f t="shared" si="99"/>
        <v>-0.27515040112115496</v>
      </c>
      <c r="AM352" s="7">
        <f t="shared" si="100"/>
        <v>0.4591035892391031</v>
      </c>
    </row>
    <row r="353" spans="10:39" x14ac:dyDescent="0.25">
      <c r="J353" s="3">
        <v>347</v>
      </c>
      <c r="K353" s="7">
        <v>0.37690016775992019</v>
      </c>
      <c r="L353" s="7">
        <f t="shared" si="90"/>
        <v>0.15283791109021874</v>
      </c>
      <c r="M353" s="7">
        <f t="shared" ca="1" si="85"/>
        <v>-0.11589695092433952</v>
      </c>
      <c r="N353" s="7">
        <f t="shared" si="86"/>
        <v>0.37690016775992019</v>
      </c>
      <c r="O353" s="7">
        <v>3.556002061864294E-3</v>
      </c>
      <c r="P353" s="7">
        <f t="shared" si="87"/>
        <v>0.14255890181228725</v>
      </c>
      <c r="Q353" s="7">
        <f t="shared" si="91"/>
        <v>0.13900289975042296</v>
      </c>
      <c r="R353" s="7">
        <f t="shared" si="88"/>
        <v>-0.27028308038456128</v>
      </c>
      <c r="S353" s="7">
        <f t="shared" si="92"/>
        <v>-2.1907126595714047E-2</v>
      </c>
      <c r="T353" s="7">
        <f t="shared" si="93"/>
        <v>1</v>
      </c>
      <c r="U353" s="7">
        <f t="shared" si="89"/>
        <v>0.47637504822815835</v>
      </c>
      <c r="V353" s="7">
        <f t="shared" si="94"/>
        <v>4.4917809385797938E-2</v>
      </c>
      <c r="W353" s="7">
        <f t="shared" si="95"/>
        <v>0</v>
      </c>
      <c r="X353" s="8" t="s">
        <v>3</v>
      </c>
      <c r="Y353" s="7">
        <v>0.37690016775992019</v>
      </c>
      <c r="Z353" s="7">
        <v>0.14255890181228725</v>
      </c>
      <c r="AC353" s="7">
        <f t="shared" si="96"/>
        <v>0.41284198219684853</v>
      </c>
      <c r="AD353" s="7">
        <f t="shared" si="97"/>
        <v>0.3338161464158711</v>
      </c>
      <c r="AE353" s="6" t="s">
        <v>3</v>
      </c>
      <c r="AF353" s="6" t="s">
        <v>3</v>
      </c>
      <c r="AG353" s="6" t="s">
        <v>3</v>
      </c>
      <c r="AH353" s="6" t="s">
        <v>3</v>
      </c>
      <c r="AI353" s="6" t="s">
        <v>3</v>
      </c>
      <c r="AJ353" s="6" t="s">
        <v>3</v>
      </c>
      <c r="AK353" s="5">
        <f t="shared" si="98"/>
        <v>689.90242370807539</v>
      </c>
      <c r="AL353" s="7">
        <f t="shared" si="99"/>
        <v>-0.27028308038456128</v>
      </c>
      <c r="AM353" s="7">
        <f t="shared" si="100"/>
        <v>0.47637504822815835</v>
      </c>
    </row>
    <row r="354" spans="10:39" x14ac:dyDescent="0.25">
      <c r="J354" s="3">
        <v>348</v>
      </c>
      <c r="K354" s="7">
        <v>0.38095057346528582</v>
      </c>
      <c r="L354" s="7">
        <f t="shared" si="90"/>
        <v>0.15773496527843306</v>
      </c>
      <c r="M354" s="7">
        <f t="shared" ca="1" si="85"/>
        <v>-8.4077339975620335E-3</v>
      </c>
      <c r="N354" s="7">
        <f t="shared" si="86"/>
        <v>0.38095057346528582</v>
      </c>
      <c r="O354" s="7">
        <v>-0.184433635304036</v>
      </c>
      <c r="P354" s="7">
        <f t="shared" si="87"/>
        <v>0.14723278334355072</v>
      </c>
      <c r="Q354" s="7">
        <f t="shared" si="91"/>
        <v>0.33166641864758672</v>
      </c>
      <c r="R354" s="7">
        <f t="shared" si="88"/>
        <v>-0.26792421939620947</v>
      </c>
      <c r="S354" s="7">
        <f t="shared" si="92"/>
        <v>-6.6792467273738779E-3</v>
      </c>
      <c r="T354" s="7">
        <f t="shared" si="93"/>
        <v>1</v>
      </c>
      <c r="U354" s="7">
        <f t="shared" si="89"/>
        <v>0.48456468034989397</v>
      </c>
      <c r="V354" s="7">
        <f t="shared" si="94"/>
        <v>6.3554839987123343E-2</v>
      </c>
      <c r="W354" s="7">
        <f t="shared" si="95"/>
        <v>0</v>
      </c>
      <c r="X354" s="8" t="s">
        <v>3</v>
      </c>
      <c r="Y354" s="7">
        <v>0.38095057346528582</v>
      </c>
      <c r="Z354" s="7">
        <v>0.14723278334355072</v>
      </c>
      <c r="AC354" s="7">
        <f t="shared" si="96"/>
        <v>0.41515700273976019</v>
      </c>
      <c r="AD354" s="7">
        <f t="shared" si="97"/>
        <v>0.33733189700634325</v>
      </c>
      <c r="AE354" s="6" t="s">
        <v>3</v>
      </c>
      <c r="AF354" s="6" t="s">
        <v>3</v>
      </c>
      <c r="AG354" s="6" t="s">
        <v>3</v>
      </c>
      <c r="AH354" s="6" t="s">
        <v>3</v>
      </c>
      <c r="AI354" s="6" t="s">
        <v>3</v>
      </c>
      <c r="AJ354" s="6" t="s">
        <v>3</v>
      </c>
      <c r="AK354" s="5">
        <f t="shared" si="98"/>
        <v>691.93826516286879</v>
      </c>
      <c r="AL354" s="7">
        <f t="shared" si="99"/>
        <v>-0.26792421939620947</v>
      </c>
      <c r="AM354" s="7">
        <f t="shared" si="100"/>
        <v>0.48456468034989397</v>
      </c>
    </row>
    <row r="355" spans="10:39" x14ac:dyDescent="0.25">
      <c r="J355" s="3">
        <v>349</v>
      </c>
      <c r="K355" s="7">
        <v>0.38518371909666715</v>
      </c>
      <c r="L355" s="7">
        <f t="shared" si="90"/>
        <v>0.1629240733634445</v>
      </c>
      <c r="M355" s="7">
        <f t="shared" ca="1" si="85"/>
        <v>0.46470218173501754</v>
      </c>
      <c r="N355" s="7">
        <f t="shared" si="86"/>
        <v>0.38518371909666715</v>
      </c>
      <c r="O355" s="7">
        <v>0.21834972716877263</v>
      </c>
      <c r="P355" s="7">
        <f t="shared" si="87"/>
        <v>0.15222851671962134</v>
      </c>
      <c r="Q355" s="7">
        <f t="shared" si="91"/>
        <v>-6.6121210449151285E-2</v>
      </c>
      <c r="R355" s="7">
        <f t="shared" si="88"/>
        <v>-0.26533892944197301</v>
      </c>
      <c r="S355" s="7">
        <f t="shared" si="92"/>
        <v>-3.8695092528859658E-2</v>
      </c>
      <c r="T355" s="7">
        <f t="shared" si="93"/>
        <v>1</v>
      </c>
      <c r="U355" s="7">
        <f t="shared" si="89"/>
        <v>0.49340585753912691</v>
      </c>
      <c r="V355" s="7">
        <f t="shared" si="94"/>
        <v>2.6130332385183655E-2</v>
      </c>
      <c r="W355" s="7">
        <f t="shared" si="95"/>
        <v>0</v>
      </c>
      <c r="X355" s="8" t="s">
        <v>3</v>
      </c>
      <c r="Y355" s="7">
        <v>0.38518371909666715</v>
      </c>
      <c r="Z355" s="7">
        <v>0.15222851671962134</v>
      </c>
      <c r="AC355" s="7">
        <f t="shared" si="96"/>
        <v>0.41756744616159436</v>
      </c>
      <c r="AD355" s="7">
        <f t="shared" si="97"/>
        <v>0.34117734081950557</v>
      </c>
      <c r="AE355" s="6" t="s">
        <v>3</v>
      </c>
      <c r="AF355" s="6" t="s">
        <v>3</v>
      </c>
      <c r="AG355" s="6" t="s">
        <v>3</v>
      </c>
      <c r="AH355" s="6" t="s">
        <v>3</v>
      </c>
      <c r="AI355" s="6" t="s">
        <v>3</v>
      </c>
      <c r="AJ355" s="6" t="s">
        <v>3</v>
      </c>
      <c r="AK355" s="5">
        <f t="shared" si="98"/>
        <v>694.06595655662898</v>
      </c>
      <c r="AL355" s="7">
        <f t="shared" si="99"/>
        <v>-0.26533892944197301</v>
      </c>
      <c r="AM355" s="7">
        <f t="shared" si="100"/>
        <v>0.49340585753912691</v>
      </c>
    </row>
    <row r="356" spans="10:39" x14ac:dyDescent="0.25">
      <c r="J356" s="3">
        <v>350</v>
      </c>
      <c r="K356" s="7">
        <v>0.38855390128338119</v>
      </c>
      <c r="L356" s="7">
        <f t="shared" si="90"/>
        <v>0.16710574537954789</v>
      </c>
      <c r="M356" s="7">
        <f t="shared" ca="1" si="85"/>
        <v>0.22371746466750939</v>
      </c>
      <c r="N356" s="7">
        <f t="shared" si="86"/>
        <v>0.38855390128338119</v>
      </c>
      <c r="O356" s="7">
        <v>0.26490387958254746</v>
      </c>
      <c r="P356" s="7">
        <f t="shared" si="87"/>
        <v>0.15628666232847843</v>
      </c>
      <c r="Q356" s="7">
        <f t="shared" si="91"/>
        <v>-0.10861721725406903</v>
      </c>
      <c r="R356" s="7">
        <f t="shared" si="88"/>
        <v>-0.26318932750081547</v>
      </c>
      <c r="S356" s="7">
        <f t="shared" si="92"/>
        <v>-4.2247456566669034E-2</v>
      </c>
      <c r="T356" s="7">
        <f t="shared" si="93"/>
        <v>1</v>
      </c>
      <c r="U356" s="7">
        <f t="shared" si="89"/>
        <v>0.50065093183788711</v>
      </c>
      <c r="V356" s="7">
        <f t="shared" si="94"/>
        <v>2.2395969964257266E-2</v>
      </c>
      <c r="W356" s="7">
        <f t="shared" si="95"/>
        <v>0</v>
      </c>
      <c r="X356" s="8" t="s">
        <v>3</v>
      </c>
      <c r="Y356" s="7">
        <v>0.38855390128338119</v>
      </c>
      <c r="Z356" s="7">
        <v>0.15628666232847843</v>
      </c>
      <c r="AC356" s="7">
        <f t="shared" si="96"/>
        <v>0.4194759898292939</v>
      </c>
      <c r="AD356" s="7">
        <f t="shared" si="97"/>
        <v>0.34436426950940868</v>
      </c>
      <c r="AE356" s="6" t="s">
        <v>3</v>
      </c>
      <c r="AF356" s="6" t="s">
        <v>3</v>
      </c>
      <c r="AG356" s="6" t="s">
        <v>3</v>
      </c>
      <c r="AH356" s="6" t="s">
        <v>3</v>
      </c>
      <c r="AI356" s="6" t="s">
        <v>3</v>
      </c>
      <c r="AJ356" s="6" t="s">
        <v>3</v>
      </c>
      <c r="AK356" s="5">
        <f t="shared" si="98"/>
        <v>695.7598996095013</v>
      </c>
      <c r="AL356" s="7">
        <f t="shared" si="99"/>
        <v>-0.26318932750081547</v>
      </c>
      <c r="AM356" s="7">
        <f t="shared" si="100"/>
        <v>0.50065093183788711</v>
      </c>
    </row>
    <row r="357" spans="10:39" x14ac:dyDescent="0.25">
      <c r="J357" s="3">
        <v>351</v>
      </c>
      <c r="K357" s="7">
        <v>0.3943767869942123</v>
      </c>
      <c r="L357" s="7">
        <f t="shared" si="90"/>
        <v>0.17443205159568817</v>
      </c>
      <c r="M357" s="7">
        <f t="shared" ca="1" si="85"/>
        <v>0.57471450693759962</v>
      </c>
      <c r="N357" s="7">
        <f t="shared" si="86"/>
        <v>0.3943767869942123</v>
      </c>
      <c r="O357" s="7">
        <v>0.22426768142081105</v>
      </c>
      <c r="P357" s="7">
        <f t="shared" si="87"/>
        <v>0.16346603197730225</v>
      </c>
      <c r="Q357" s="7">
        <f t="shared" si="91"/>
        <v>-6.0801649443508798E-2</v>
      </c>
      <c r="R357" s="7">
        <f t="shared" si="88"/>
        <v>-0.2592754842353413</v>
      </c>
      <c r="S357" s="7">
        <f t="shared" si="92"/>
        <v>-3.8683453252492186E-2</v>
      </c>
      <c r="T357" s="7">
        <f t="shared" si="93"/>
        <v>1</v>
      </c>
      <c r="U357" s="7">
        <f t="shared" si="89"/>
        <v>0.51359861735176437</v>
      </c>
      <c r="V357" s="7">
        <f t="shared" si="94"/>
        <v>2.7486438913440565E-2</v>
      </c>
      <c r="W357" s="7">
        <f t="shared" si="95"/>
        <v>0</v>
      </c>
      <c r="X357" s="8" t="s">
        <v>3</v>
      </c>
      <c r="Y357" s="7">
        <v>0.3943767869942123</v>
      </c>
      <c r="Z357" s="7">
        <v>0.16346603197730225</v>
      </c>
      <c r="AC357" s="7">
        <f t="shared" si="96"/>
        <v>0.42274151621264355</v>
      </c>
      <c r="AD357" s="7">
        <f t="shared" si="97"/>
        <v>0.35013258537446212</v>
      </c>
      <c r="AE357" s="6" t="s">
        <v>3</v>
      </c>
      <c r="AF357" s="6" t="s">
        <v>3</v>
      </c>
      <c r="AG357" s="6" t="s">
        <v>3</v>
      </c>
      <c r="AH357" s="6" t="s">
        <v>3</v>
      </c>
      <c r="AI357" s="6" t="s">
        <v>3</v>
      </c>
      <c r="AJ357" s="6" t="s">
        <v>3</v>
      </c>
      <c r="AK357" s="5">
        <f t="shared" si="98"/>
        <v>698.68663657832656</v>
      </c>
      <c r="AL357" s="7">
        <f t="shared" si="99"/>
        <v>-0.2592754842353413</v>
      </c>
      <c r="AM357" s="7">
        <f t="shared" si="100"/>
        <v>0.51359861735176437</v>
      </c>
    </row>
    <row r="358" spans="10:39" x14ac:dyDescent="0.25">
      <c r="J358" s="3">
        <v>352</v>
      </c>
      <c r="K358" s="7">
        <v>0.3984989390542264</v>
      </c>
      <c r="L358" s="7">
        <f t="shared" si="90"/>
        <v>0.17969298562135827</v>
      </c>
      <c r="M358" s="7">
        <f t="shared" ca="1" si="85"/>
        <v>-2.986009876126744E-2</v>
      </c>
      <c r="N358" s="7">
        <f t="shared" si="86"/>
        <v>0.3984989390542264</v>
      </c>
      <c r="O358" s="7">
        <v>0.22052436968627542</v>
      </c>
      <c r="P358" s="7">
        <f t="shared" si="87"/>
        <v>0.16867592625012495</v>
      </c>
      <c r="Q358" s="7">
        <f t="shared" si="91"/>
        <v>-5.1848443436150471E-2</v>
      </c>
      <c r="R358" s="7">
        <f t="shared" si="88"/>
        <v>-0.25634475010721314</v>
      </c>
      <c r="S358" s="7">
        <f t="shared" si="92"/>
        <v>-3.8149529583479086E-2</v>
      </c>
      <c r="T358" s="7">
        <f t="shared" si="93"/>
        <v>1</v>
      </c>
      <c r="U358" s="7">
        <f t="shared" si="89"/>
        <v>0.52309202387304721</v>
      </c>
      <c r="V358" s="7">
        <f t="shared" si="94"/>
        <v>2.874392714774332E-2</v>
      </c>
      <c r="W358" s="7">
        <f t="shared" si="95"/>
        <v>0</v>
      </c>
      <c r="X358" s="8" t="s">
        <v>3</v>
      </c>
      <c r="Y358" s="7">
        <v>0.3984989390542264</v>
      </c>
      <c r="Z358" s="7">
        <v>0.16867592625012495</v>
      </c>
      <c r="AC358" s="7">
        <f t="shared" si="96"/>
        <v>0.42502067635733809</v>
      </c>
      <c r="AD358" s="7">
        <f t="shared" si="97"/>
        <v>0.35441609762292225</v>
      </c>
      <c r="AE358" s="6" t="s">
        <v>3</v>
      </c>
      <c r="AF358" s="6" t="s">
        <v>3</v>
      </c>
      <c r="AG358" s="6" t="s">
        <v>3</v>
      </c>
      <c r="AH358" s="6" t="s">
        <v>3</v>
      </c>
      <c r="AI358" s="6" t="s">
        <v>3</v>
      </c>
      <c r="AJ358" s="6" t="s">
        <v>3</v>
      </c>
      <c r="AK358" s="5">
        <f t="shared" si="98"/>
        <v>700.75853965599151</v>
      </c>
      <c r="AL358" s="7">
        <f t="shared" si="99"/>
        <v>-0.25634475010721314</v>
      </c>
      <c r="AM358" s="7">
        <f t="shared" si="100"/>
        <v>0.52309202387304721</v>
      </c>
    </row>
    <row r="359" spans="10:39" x14ac:dyDescent="0.25">
      <c r="J359" s="3">
        <v>353</v>
      </c>
      <c r="K359" s="7">
        <v>0.39963436571418476</v>
      </c>
      <c r="L359" s="7">
        <f t="shared" si="90"/>
        <v>0.18115253377957838</v>
      </c>
      <c r="M359" s="7">
        <f t="shared" ca="1" si="85"/>
        <v>-0.21251841130213373</v>
      </c>
      <c r="N359" s="7">
        <f t="shared" si="86"/>
        <v>0.39963436571418476</v>
      </c>
      <c r="O359" s="7">
        <v>0.45196903183958881</v>
      </c>
      <c r="P359" s="7">
        <f t="shared" si="87"/>
        <v>0.17012936300326409</v>
      </c>
      <c r="Q359" s="7">
        <f t="shared" si="91"/>
        <v>-0.28183966883632472</v>
      </c>
      <c r="R359" s="7">
        <f t="shared" si="88"/>
        <v>-0.2555133284608706</v>
      </c>
      <c r="S359" s="7">
        <f t="shared" si="92"/>
        <v>-5.6598588824036754E-2</v>
      </c>
      <c r="T359" s="7">
        <f t="shared" si="93"/>
        <v>1</v>
      </c>
      <c r="U359" s="7">
        <f t="shared" si="89"/>
        <v>0.52575429246558913</v>
      </c>
      <c r="V359" s="7">
        <f t="shared" si="94"/>
        <v>7.0095997594700312E-3</v>
      </c>
      <c r="W359" s="7">
        <f t="shared" si="95"/>
        <v>0</v>
      </c>
      <c r="X359" s="8" t="s">
        <v>3</v>
      </c>
      <c r="Y359" s="7">
        <v>0.39963436571418476</v>
      </c>
      <c r="Z359" s="7">
        <v>0.17012936300326409</v>
      </c>
      <c r="AC359" s="7">
        <f t="shared" si="96"/>
        <v>0.42564269146413469</v>
      </c>
      <c r="AD359" s="7">
        <f t="shared" si="97"/>
        <v>0.35562492946232505</v>
      </c>
      <c r="AE359" s="6" t="s">
        <v>3</v>
      </c>
      <c r="AF359" s="6" t="s">
        <v>3</v>
      </c>
      <c r="AG359" s="6" t="s">
        <v>3</v>
      </c>
      <c r="AH359" s="6" t="s">
        <v>3</v>
      </c>
      <c r="AI359" s="6" t="s">
        <v>3</v>
      </c>
      <c r="AJ359" s="6" t="s">
        <v>3</v>
      </c>
      <c r="AK359" s="5">
        <f t="shared" si="98"/>
        <v>701.32923524338878</v>
      </c>
      <c r="AL359" s="7">
        <f t="shared" si="99"/>
        <v>-0.2555133284608706</v>
      </c>
      <c r="AM359" s="7">
        <f t="shared" si="100"/>
        <v>0.52575429246558913</v>
      </c>
    </row>
    <row r="360" spans="10:39" x14ac:dyDescent="0.25">
      <c r="J360" s="3">
        <v>354</v>
      </c>
      <c r="K360" s="7">
        <v>0.39985308854880852</v>
      </c>
      <c r="L360" s="7">
        <f t="shared" si="90"/>
        <v>0.1814342022182564</v>
      </c>
      <c r="M360" s="7">
        <f t="shared" ca="1" si="85"/>
        <v>0.43323852282272735</v>
      </c>
      <c r="N360" s="7">
        <f t="shared" si="86"/>
        <v>0.39985308854880852</v>
      </c>
      <c r="O360" s="7">
        <v>0.20695804542360191</v>
      </c>
      <c r="P360" s="7">
        <f t="shared" si="87"/>
        <v>0.17041025382261266</v>
      </c>
      <c r="Q360" s="7">
        <f t="shared" si="91"/>
        <v>-3.6547791600989255E-2</v>
      </c>
      <c r="R360" s="7">
        <f t="shared" si="88"/>
        <v>-0.25535194731075883</v>
      </c>
      <c r="S360" s="7">
        <f t="shared" si="92"/>
        <v>-3.6984799418748861E-2</v>
      </c>
      <c r="T360" s="7">
        <f t="shared" si="93"/>
        <v>1</v>
      </c>
      <c r="U360" s="7">
        <f t="shared" si="89"/>
        <v>0.52626947776049393</v>
      </c>
      <c r="V360" s="7">
        <f t="shared" si="94"/>
        <v>3.0334586072004743E-2</v>
      </c>
      <c r="W360" s="7">
        <f t="shared" si="95"/>
        <v>0</v>
      </c>
      <c r="X360" s="8" t="s">
        <v>3</v>
      </c>
      <c r="Y360" s="7">
        <v>0.39985308854880852</v>
      </c>
      <c r="Z360" s="7">
        <v>0.17041025382261266</v>
      </c>
      <c r="AC360" s="7">
        <f t="shared" si="96"/>
        <v>0.42576220113337149</v>
      </c>
      <c r="AD360" s="7">
        <f t="shared" si="97"/>
        <v>0.35585922393788127</v>
      </c>
      <c r="AE360" s="6" t="s">
        <v>3</v>
      </c>
      <c r="AF360" s="6" t="s">
        <v>3</v>
      </c>
      <c r="AG360" s="6" t="s">
        <v>3</v>
      </c>
      <c r="AH360" s="6" t="s">
        <v>3</v>
      </c>
      <c r="AI360" s="6" t="s">
        <v>3</v>
      </c>
      <c r="AJ360" s="6" t="s">
        <v>3</v>
      </c>
      <c r="AK360" s="5">
        <f t="shared" si="98"/>
        <v>701.43917114764815</v>
      </c>
      <c r="AL360" s="7">
        <f t="shared" si="99"/>
        <v>-0.25535194731075883</v>
      </c>
      <c r="AM360" s="7">
        <f t="shared" si="100"/>
        <v>0.52626947776049393</v>
      </c>
    </row>
    <row r="361" spans="10:39" x14ac:dyDescent="0.25">
      <c r="J361" s="3">
        <v>355</v>
      </c>
      <c r="K361" s="7">
        <v>0.4001457591109896</v>
      </c>
      <c r="L361" s="7">
        <f t="shared" si="90"/>
        <v>0.18181135499728729</v>
      </c>
      <c r="M361" s="7">
        <f t="shared" ca="1" si="85"/>
        <v>0.36438059150067881</v>
      </c>
      <c r="N361" s="7">
        <f t="shared" si="86"/>
        <v>0.4001457591109896</v>
      </c>
      <c r="O361" s="7">
        <v>0.22857747874824738</v>
      </c>
      <c r="P361" s="7">
        <f t="shared" si="87"/>
        <v>0.17078656881634124</v>
      </c>
      <c r="Q361" s="7">
        <f t="shared" si="91"/>
        <v>-5.7790909931906137E-2</v>
      </c>
      <c r="R361" s="7">
        <f t="shared" si="88"/>
        <v>-0.25513538510276401</v>
      </c>
      <c r="S361" s="7">
        <f t="shared" si="92"/>
        <v>-3.8697029108080913E-2</v>
      </c>
      <c r="T361" s="7">
        <f t="shared" si="93"/>
        <v>1</v>
      </c>
      <c r="U361" s="7">
        <f t="shared" si="89"/>
        <v>0.52696002182261603</v>
      </c>
      <c r="V361" s="7">
        <f t="shared" si="94"/>
        <v>2.8346341592065019E-2</v>
      </c>
      <c r="W361" s="7">
        <f t="shared" si="95"/>
        <v>0</v>
      </c>
      <c r="X361" s="8" t="s">
        <v>3</v>
      </c>
      <c r="Y361" s="7">
        <v>0.4001457591109896</v>
      </c>
      <c r="Z361" s="7">
        <v>0.17078656881634124</v>
      </c>
      <c r="AC361" s="7">
        <f t="shared" si="96"/>
        <v>0.42592195391910526</v>
      </c>
      <c r="AD361" s="7">
        <f t="shared" si="97"/>
        <v>0.35617345300627479</v>
      </c>
      <c r="AE361" s="6" t="s">
        <v>3</v>
      </c>
      <c r="AF361" s="6" t="s">
        <v>3</v>
      </c>
      <c r="AG361" s="6" t="s">
        <v>3</v>
      </c>
      <c r="AH361" s="6" t="s">
        <v>3</v>
      </c>
      <c r="AI361" s="6" t="s">
        <v>3</v>
      </c>
      <c r="AJ361" s="6" t="s">
        <v>3</v>
      </c>
      <c r="AK361" s="5">
        <f t="shared" si="98"/>
        <v>701.58627514325451</v>
      </c>
      <c r="AL361" s="7">
        <f t="shared" si="99"/>
        <v>-0.25513538510276401</v>
      </c>
      <c r="AM361" s="7">
        <f t="shared" si="100"/>
        <v>0.52696002182261603</v>
      </c>
    </row>
    <row r="362" spans="10:39" x14ac:dyDescent="0.25">
      <c r="J362" s="3">
        <v>356</v>
      </c>
      <c r="K362" s="7">
        <v>0.40053378616590796</v>
      </c>
      <c r="L362" s="7">
        <f t="shared" si="90"/>
        <v>0.18231183910179274</v>
      </c>
      <c r="M362" s="7">
        <f t="shared" ca="1" si="85"/>
        <v>0.28034228623866392</v>
      </c>
      <c r="N362" s="7">
        <f t="shared" si="86"/>
        <v>0.40053378616590796</v>
      </c>
      <c r="O362" s="7">
        <v>-0.28326362657360921</v>
      </c>
      <c r="P362" s="7">
        <f t="shared" si="87"/>
        <v>0.1712863006993488</v>
      </c>
      <c r="Q362" s="7">
        <f t="shared" si="91"/>
        <v>0.45454992727295801</v>
      </c>
      <c r="R362" s="7">
        <f t="shared" si="88"/>
        <v>-0.25484716653089823</v>
      </c>
      <c r="S362" s="7">
        <f t="shared" si="92"/>
        <v>2.6143143239294103E-2</v>
      </c>
      <c r="T362" s="7">
        <f t="shared" si="93"/>
        <v>0</v>
      </c>
      <c r="U362" s="7">
        <f t="shared" si="89"/>
        <v>0.52787763698905898</v>
      </c>
      <c r="V362" s="7">
        <f t="shared" si="94"/>
        <v>7.7058420038453479E-2</v>
      </c>
      <c r="W362" s="7">
        <f t="shared" si="95"/>
        <v>0</v>
      </c>
      <c r="X362" s="8" t="s">
        <v>3</v>
      </c>
      <c r="Y362" s="7">
        <v>0.40053378616590796</v>
      </c>
      <c r="Z362" s="7">
        <v>0.1712863006993488</v>
      </c>
      <c r="AC362" s="7">
        <f t="shared" si="96"/>
        <v>0.42613346723024703</v>
      </c>
      <c r="AD362" s="7">
        <f t="shared" si="97"/>
        <v>0.35659133628971018</v>
      </c>
      <c r="AE362" s="6" t="s">
        <v>3</v>
      </c>
      <c r="AF362" s="6" t="s">
        <v>3</v>
      </c>
      <c r="AG362" s="6" t="s">
        <v>3</v>
      </c>
      <c r="AH362" s="6" t="s">
        <v>3</v>
      </c>
      <c r="AI362" s="6" t="s">
        <v>3</v>
      </c>
      <c r="AJ362" s="6" t="s">
        <v>3</v>
      </c>
      <c r="AK362" s="5">
        <f t="shared" si="98"/>
        <v>701.78130784403743</v>
      </c>
      <c r="AL362" s="7">
        <f t="shared" si="99"/>
        <v>-0.25484716653089823</v>
      </c>
      <c r="AM362" s="7">
        <f t="shared" si="100"/>
        <v>0.52787763698905898</v>
      </c>
    </row>
    <row r="363" spans="10:39" x14ac:dyDescent="0.25">
      <c r="J363" s="3">
        <v>357</v>
      </c>
      <c r="K363" s="7">
        <v>0.40087815855451359</v>
      </c>
      <c r="L363" s="7">
        <f t="shared" si="90"/>
        <v>0.18275644401684782</v>
      </c>
      <c r="M363" s="7">
        <f t="shared" ca="1" si="85"/>
        <v>0.35992250097603551</v>
      </c>
      <c r="N363" s="7">
        <f t="shared" si="86"/>
        <v>0.40087815855451359</v>
      </c>
      <c r="O363" s="7">
        <v>0.66499129150686787</v>
      </c>
      <c r="P363" s="7">
        <f t="shared" si="87"/>
        <v>0.17173058118447182</v>
      </c>
      <c r="Q363" s="7">
        <f t="shared" si="91"/>
        <v>-0.49326071032239605</v>
      </c>
      <c r="R363" s="7">
        <f t="shared" si="88"/>
        <v>-0.25459032268180426</v>
      </c>
      <c r="S363" s="7">
        <f t="shared" si="92"/>
        <v>-7.3566529135093775E-2</v>
      </c>
      <c r="T363" s="7">
        <f t="shared" si="93"/>
        <v>1</v>
      </c>
      <c r="U363" s="7">
        <f t="shared" si="89"/>
        <v>0.5286940022389488</v>
      </c>
      <c r="V363" s="7">
        <f t="shared" si="94"/>
        <v>-0.12334904678746676</v>
      </c>
      <c r="W363" s="7">
        <f t="shared" si="95"/>
        <v>1</v>
      </c>
      <c r="X363" s="8" t="s">
        <v>3</v>
      </c>
      <c r="Y363" s="7">
        <v>0.40087815855451359</v>
      </c>
      <c r="Z363" s="7">
        <v>0.17173058118447182</v>
      </c>
      <c r="AC363" s="7">
        <f t="shared" si="96"/>
        <v>0.42632090386627608</v>
      </c>
      <c r="AD363" s="7">
        <f t="shared" si="97"/>
        <v>0.35696342105447698</v>
      </c>
      <c r="AE363" s="6" t="s">
        <v>3</v>
      </c>
      <c r="AF363" s="6" t="s">
        <v>3</v>
      </c>
      <c r="AG363" s="6" t="s">
        <v>3</v>
      </c>
      <c r="AH363" s="6" t="s">
        <v>3</v>
      </c>
      <c r="AI363" s="6" t="s">
        <v>3</v>
      </c>
      <c r="AJ363" s="6" t="s">
        <v>3</v>
      </c>
      <c r="AK363" s="5">
        <f t="shared" si="98"/>
        <v>701.9543985504032</v>
      </c>
      <c r="AL363" s="7">
        <f t="shared" si="99"/>
        <v>-0.25459032268180426</v>
      </c>
      <c r="AM363" s="7">
        <f t="shared" si="100"/>
        <v>0.5286940022389488</v>
      </c>
    </row>
    <row r="364" spans="10:39" x14ac:dyDescent="0.25">
      <c r="J364" s="3">
        <v>358</v>
      </c>
      <c r="K364" s="7">
        <v>0.40497364439729466</v>
      </c>
      <c r="L364" s="7">
        <f t="shared" si="90"/>
        <v>0.18807420779082648</v>
      </c>
      <c r="M364" s="7">
        <f t="shared" ca="1" si="85"/>
        <v>0.52728810466215359</v>
      </c>
      <c r="N364" s="7">
        <f t="shared" si="86"/>
        <v>0.40497364439729466</v>
      </c>
      <c r="O364" s="7">
        <v>3.1577321091598193E-2</v>
      </c>
      <c r="P364" s="7">
        <f t="shared" si="87"/>
        <v>0.1770694902205463</v>
      </c>
      <c r="Q364" s="7">
        <f t="shared" si="91"/>
        <v>0.14549216912894811</v>
      </c>
      <c r="R364" s="7">
        <f t="shared" si="88"/>
        <v>-0.25145883759538545</v>
      </c>
      <c r="S364" s="7">
        <f t="shared" si="92"/>
        <v>-2.2642892694958689E-2</v>
      </c>
      <c r="T364" s="7">
        <f t="shared" si="93"/>
        <v>1</v>
      </c>
      <c r="U364" s="7">
        <f t="shared" si="89"/>
        <v>0.53854515439818718</v>
      </c>
      <c r="V364" s="7">
        <f t="shared" si="94"/>
        <v>4.8161944164125954E-2</v>
      </c>
      <c r="W364" s="7">
        <f t="shared" si="95"/>
        <v>0</v>
      </c>
      <c r="X364" s="8" t="s">
        <v>3</v>
      </c>
      <c r="Y364" s="7">
        <v>0.40497364439729466</v>
      </c>
      <c r="Z364" s="7">
        <v>0.1770694902205463</v>
      </c>
      <c r="AC364" s="7">
        <f t="shared" si="96"/>
        <v>0.42852832781593175</v>
      </c>
      <c r="AD364" s="7">
        <f t="shared" si="97"/>
        <v>0.36147566417764088</v>
      </c>
      <c r="AE364" s="6" t="s">
        <v>3</v>
      </c>
      <c r="AF364" s="6" t="s">
        <v>3</v>
      </c>
      <c r="AG364" s="6" t="s">
        <v>3</v>
      </c>
      <c r="AH364" s="6" t="s">
        <v>3</v>
      </c>
      <c r="AI364" s="6" t="s">
        <v>3</v>
      </c>
      <c r="AJ364" s="6" t="s">
        <v>3</v>
      </c>
      <c r="AK364" s="5">
        <f t="shared" si="98"/>
        <v>704.01289847923954</v>
      </c>
      <c r="AL364" s="7">
        <f t="shared" si="99"/>
        <v>-0.25145883759538545</v>
      </c>
      <c r="AM364" s="7">
        <f t="shared" si="100"/>
        <v>0.53854515439818718</v>
      </c>
    </row>
    <row r="365" spans="10:39" x14ac:dyDescent="0.25">
      <c r="J365" s="3">
        <v>359</v>
      </c>
      <c r="K365" s="7">
        <v>0.40538415559204277</v>
      </c>
      <c r="L365" s="7">
        <f t="shared" si="90"/>
        <v>0.18861025373033521</v>
      </c>
      <c r="M365" s="7">
        <f t="shared" ca="1" si="85"/>
        <v>5.9142757131425638E-2</v>
      </c>
      <c r="N365" s="7">
        <f t="shared" si="86"/>
        <v>0.40538415559204277</v>
      </c>
      <c r="O365" s="7">
        <v>0.2818239746209153</v>
      </c>
      <c r="P365" s="7">
        <f t="shared" si="87"/>
        <v>0.17761022515020963</v>
      </c>
      <c r="Q365" s="7">
        <f t="shared" si="91"/>
        <v>-0.10421374947070566</v>
      </c>
      <c r="R365" s="7">
        <f t="shared" si="88"/>
        <v>-0.25113700639609604</v>
      </c>
      <c r="S365" s="7">
        <f t="shared" si="92"/>
        <v>-4.2636878481360906E-2</v>
      </c>
      <c r="T365" s="7">
        <f t="shared" si="93"/>
        <v>1</v>
      </c>
      <c r="U365" s="7">
        <f t="shared" si="89"/>
        <v>0.53954699636308634</v>
      </c>
      <c r="V365" s="7">
        <f t="shared" si="94"/>
        <v>2.448368706550625E-2</v>
      </c>
      <c r="W365" s="7">
        <f t="shared" si="95"/>
        <v>0</v>
      </c>
      <c r="X365" s="8" t="s">
        <v>3</v>
      </c>
      <c r="Y365" s="7">
        <v>0.40538415559204277</v>
      </c>
      <c r="Z365" s="7">
        <v>0.17761022515020963</v>
      </c>
      <c r="AC365" s="7">
        <f t="shared" si="96"/>
        <v>0.42874723154630567</v>
      </c>
      <c r="AD365" s="7">
        <f t="shared" si="97"/>
        <v>0.36193677121287671</v>
      </c>
      <c r="AE365" s="6" t="s">
        <v>3</v>
      </c>
      <c r="AF365" s="6" t="s">
        <v>3</v>
      </c>
      <c r="AG365" s="6" t="s">
        <v>3</v>
      </c>
      <c r="AH365" s="6" t="s">
        <v>3</v>
      </c>
      <c r="AI365" s="6" t="s">
        <v>3</v>
      </c>
      <c r="AJ365" s="6" t="s">
        <v>3</v>
      </c>
      <c r="AK365" s="5">
        <f t="shared" si="98"/>
        <v>704.21923230570485</v>
      </c>
      <c r="AL365" s="7">
        <f t="shared" si="99"/>
        <v>-0.25113700639609604</v>
      </c>
      <c r="AM365" s="7">
        <f t="shared" si="100"/>
        <v>0.53954699636308634</v>
      </c>
    </row>
    <row r="366" spans="10:39" x14ac:dyDescent="0.25">
      <c r="J366" s="3">
        <v>360</v>
      </c>
      <c r="K366" s="7">
        <v>0.41106284376938151</v>
      </c>
      <c r="L366" s="7">
        <f t="shared" si="90"/>
        <v>0.19607961525577686</v>
      </c>
      <c r="M366" s="7">
        <f t="shared" ca="1" si="85"/>
        <v>0.43743652535923283</v>
      </c>
      <c r="N366" s="7">
        <f t="shared" si="86"/>
        <v>0.41106284376938151</v>
      </c>
      <c r="O366" s="7">
        <v>0.2109096271008194</v>
      </c>
      <c r="P366" s="7">
        <f t="shared" si="87"/>
        <v>0.18519341799286515</v>
      </c>
      <c r="Q366" s="7">
        <f t="shared" si="91"/>
        <v>-2.5716209107954247E-2</v>
      </c>
      <c r="R366" s="7">
        <f t="shared" si="88"/>
        <v>-0.24653178632057582</v>
      </c>
      <c r="S366" s="7">
        <f t="shared" si="92"/>
        <v>-3.6595313073711618E-2</v>
      </c>
      <c r="T366" s="7">
        <f t="shared" si="93"/>
        <v>1</v>
      </c>
      <c r="U366" s="7">
        <f t="shared" si="89"/>
        <v>0.55367149126718318</v>
      </c>
      <c r="V366" s="7">
        <f t="shared" si="94"/>
        <v>3.2562377095804562E-2</v>
      </c>
      <c r="W366" s="7">
        <f t="shared" si="95"/>
        <v>0</v>
      </c>
      <c r="X366" s="8" t="s">
        <v>3</v>
      </c>
      <c r="Y366" s="7">
        <v>0.41106284376938151</v>
      </c>
      <c r="Z366" s="7">
        <v>0.18519341799286515</v>
      </c>
      <c r="AC366" s="7">
        <f t="shared" si="96"/>
        <v>0.43172520431344097</v>
      </c>
      <c r="AD366" s="7">
        <f t="shared" si="97"/>
        <v>0.36847807327431803</v>
      </c>
      <c r="AE366" s="6" t="s">
        <v>3</v>
      </c>
      <c r="AF366" s="6" t="s">
        <v>3</v>
      </c>
      <c r="AG366" s="6" t="s">
        <v>3</v>
      </c>
      <c r="AH366" s="6" t="s">
        <v>3</v>
      </c>
      <c r="AI366" s="6" t="s">
        <v>3</v>
      </c>
      <c r="AJ366" s="6" t="s">
        <v>3</v>
      </c>
      <c r="AK366" s="5">
        <f t="shared" si="98"/>
        <v>707.07349176543164</v>
      </c>
      <c r="AL366" s="7">
        <f t="shared" si="99"/>
        <v>-0.24653178632057582</v>
      </c>
      <c r="AM366" s="7">
        <f t="shared" si="100"/>
        <v>0.55367149126718318</v>
      </c>
    </row>
    <row r="367" spans="10:39" x14ac:dyDescent="0.25">
      <c r="J367" s="3">
        <v>361</v>
      </c>
      <c r="K367" s="7">
        <v>0.41143817407963756</v>
      </c>
      <c r="L367" s="7">
        <f t="shared" si="90"/>
        <v>0.19657675676950054</v>
      </c>
      <c r="M367" s="7">
        <f t="shared" ca="1" si="85"/>
        <v>0.39277034500243813</v>
      </c>
      <c r="N367" s="7">
        <f t="shared" si="86"/>
        <v>0.41143817407963756</v>
      </c>
      <c r="O367" s="7">
        <v>6.5872766586672626E-3</v>
      </c>
      <c r="P367" s="7">
        <f t="shared" si="87"/>
        <v>0.1857013363040898</v>
      </c>
      <c r="Q367" s="7">
        <f t="shared" si="91"/>
        <v>0.17911405964542254</v>
      </c>
      <c r="R367" s="7">
        <f t="shared" si="88"/>
        <v>-0.24621713831223335</v>
      </c>
      <c r="S367" s="7">
        <f t="shared" si="92"/>
        <v>-2.0224353197672049E-2</v>
      </c>
      <c r="T367" s="7">
        <f t="shared" si="93"/>
        <v>1</v>
      </c>
      <c r="U367" s="7">
        <f t="shared" si="89"/>
        <v>0.55462233855338305</v>
      </c>
      <c r="V367" s="7">
        <f t="shared" si="94"/>
        <v>5.2063330879998003E-2</v>
      </c>
      <c r="W367" s="7">
        <f t="shared" si="95"/>
        <v>0</v>
      </c>
      <c r="X367" s="8" t="s">
        <v>3</v>
      </c>
      <c r="Y367" s="7">
        <v>0.41143817407963756</v>
      </c>
      <c r="Z367" s="7">
        <v>0.1857013363040898</v>
      </c>
      <c r="AC367" s="7">
        <f t="shared" si="96"/>
        <v>0.43191847461632316</v>
      </c>
      <c r="AD367" s="7">
        <f t="shared" si="97"/>
        <v>0.36892100224929325</v>
      </c>
      <c r="AE367" s="6" t="s">
        <v>3</v>
      </c>
      <c r="AF367" s="6" t="s">
        <v>3</v>
      </c>
      <c r="AG367" s="6" t="s">
        <v>3</v>
      </c>
      <c r="AH367" s="6" t="s">
        <v>3</v>
      </c>
      <c r="AI367" s="6" t="s">
        <v>3</v>
      </c>
      <c r="AJ367" s="6" t="s">
        <v>3</v>
      </c>
      <c r="AK367" s="5">
        <f t="shared" si="98"/>
        <v>707.26214274522056</v>
      </c>
      <c r="AL367" s="7">
        <f t="shared" si="99"/>
        <v>-0.24621713831223335</v>
      </c>
      <c r="AM367" s="7">
        <f t="shared" si="100"/>
        <v>0.55462233855338305</v>
      </c>
    </row>
    <row r="368" spans="10:39" x14ac:dyDescent="0.25">
      <c r="J368" s="3">
        <v>362</v>
      </c>
      <c r="K368" s="7">
        <v>0.41344747562895834</v>
      </c>
      <c r="L368" s="7">
        <f t="shared" si="90"/>
        <v>0.1992451899916351</v>
      </c>
      <c r="M368" s="7">
        <f t="shared" ca="1" si="85"/>
        <v>0.3926235670243835</v>
      </c>
      <c r="N368" s="7">
        <f t="shared" si="86"/>
        <v>0.41344747562895834</v>
      </c>
      <c r="O368" s="7">
        <v>0.53185952720177587</v>
      </c>
      <c r="P368" s="7">
        <f t="shared" si="87"/>
        <v>0.18843440731776573</v>
      </c>
      <c r="Q368" s="7">
        <f t="shared" si="91"/>
        <v>-0.34342511988401014</v>
      </c>
      <c r="R368" s="7">
        <f t="shared" si="88"/>
        <v>-0.24451052474273549</v>
      </c>
      <c r="S368" s="7">
        <f t="shared" si="92"/>
        <v>-6.210960415556091E-2</v>
      </c>
      <c r="T368" s="7">
        <f t="shared" si="93"/>
        <v>1</v>
      </c>
      <c r="U368" s="7">
        <f t="shared" si="89"/>
        <v>0.55974859806395849</v>
      </c>
      <c r="V368" s="7">
        <f t="shared" si="94"/>
        <v>2.6494617319073486E-3</v>
      </c>
      <c r="W368" s="7">
        <f t="shared" si="95"/>
        <v>0</v>
      </c>
      <c r="X368" s="8" t="s">
        <v>3</v>
      </c>
      <c r="Y368" s="7">
        <v>0.41344747562895834</v>
      </c>
      <c r="Z368" s="7">
        <v>0.18843440731776573</v>
      </c>
      <c r="AC368" s="7">
        <f t="shared" si="96"/>
        <v>0.43294493206050122</v>
      </c>
      <c r="AD368" s="7">
        <f t="shared" si="97"/>
        <v>0.37131419074619276</v>
      </c>
      <c r="AE368" s="6" t="s">
        <v>3</v>
      </c>
      <c r="AF368" s="6" t="s">
        <v>3</v>
      </c>
      <c r="AG368" s="6" t="s">
        <v>3</v>
      </c>
      <c r="AH368" s="6" t="s">
        <v>3</v>
      </c>
      <c r="AI368" s="6" t="s">
        <v>3</v>
      </c>
      <c r="AJ368" s="6" t="s">
        <v>3</v>
      </c>
      <c r="AK368" s="5">
        <f t="shared" si="98"/>
        <v>708.27207105533262</v>
      </c>
      <c r="AL368" s="7">
        <f t="shared" si="99"/>
        <v>-0.24451052474273549</v>
      </c>
      <c r="AM368" s="7">
        <f t="shared" si="100"/>
        <v>0.55974859806395849</v>
      </c>
    </row>
    <row r="369" spans="10:39" x14ac:dyDescent="0.25">
      <c r="J369" s="3">
        <v>363</v>
      </c>
      <c r="K369" s="7">
        <v>0.41559735081650273</v>
      </c>
      <c r="L369" s="7">
        <f t="shared" si="90"/>
        <v>0.20211313542147477</v>
      </c>
      <c r="M369" s="7">
        <f t="shared" ca="1" si="85"/>
        <v>0.21242548301781139</v>
      </c>
      <c r="N369" s="7">
        <f t="shared" si="86"/>
        <v>0.41559735081650273</v>
      </c>
      <c r="O369" s="7">
        <v>0.35985636638290475</v>
      </c>
      <c r="P369" s="7">
        <f t="shared" si="87"/>
        <v>0.19138455254775133</v>
      </c>
      <c r="Q369" s="7">
        <f t="shared" si="91"/>
        <v>-0.16847181383515342</v>
      </c>
      <c r="R369" s="7">
        <f t="shared" si="88"/>
        <v>-0.24264259801736721</v>
      </c>
      <c r="S369" s="7">
        <f t="shared" si="92"/>
        <v>-4.8199917152021758E-2</v>
      </c>
      <c r="T369" s="7">
        <f t="shared" si="93"/>
        <v>1</v>
      </c>
      <c r="U369" s="7">
        <f t="shared" si="89"/>
        <v>0.56530004797507361</v>
      </c>
      <c r="V369" s="7">
        <f t="shared" si="94"/>
        <v>1.9517149751256041E-2</v>
      </c>
      <c r="W369" s="7">
        <f t="shared" si="95"/>
        <v>0</v>
      </c>
      <c r="X369" s="8" t="s">
        <v>3</v>
      </c>
      <c r="Y369" s="7">
        <v>0.41559735081650273</v>
      </c>
      <c r="Z369" s="7">
        <v>0.19138455254775133</v>
      </c>
      <c r="AC369" s="7">
        <f t="shared" si="96"/>
        <v>0.43402715056511854</v>
      </c>
      <c r="AD369" s="7">
        <f t="shared" si="97"/>
        <v>0.37391549542732228</v>
      </c>
      <c r="AE369" s="6" t="s">
        <v>3</v>
      </c>
      <c r="AF369" s="6" t="s">
        <v>3</v>
      </c>
      <c r="AG369" s="6" t="s">
        <v>3</v>
      </c>
      <c r="AH369" s="6" t="s">
        <v>3</v>
      </c>
      <c r="AI369" s="6" t="s">
        <v>3</v>
      </c>
      <c r="AJ369" s="6" t="s">
        <v>3</v>
      </c>
      <c r="AK369" s="5">
        <f t="shared" si="98"/>
        <v>709.35265540855835</v>
      </c>
      <c r="AL369" s="7">
        <f t="shared" si="99"/>
        <v>-0.24264259801736721</v>
      </c>
      <c r="AM369" s="7">
        <f t="shared" si="100"/>
        <v>0.56530004797507361</v>
      </c>
    </row>
    <row r="370" spans="10:39" x14ac:dyDescent="0.25">
      <c r="J370" s="3">
        <v>364</v>
      </c>
      <c r="K370" s="7">
        <v>0.41594290473140383</v>
      </c>
      <c r="L370" s="7">
        <f t="shared" si="90"/>
        <v>0.20257531545745658</v>
      </c>
      <c r="M370" s="7">
        <f t="shared" ca="1" si="85"/>
        <v>3.4417209799756987E-2</v>
      </c>
      <c r="N370" s="7">
        <f t="shared" si="86"/>
        <v>0.41594290473140383</v>
      </c>
      <c r="O370" s="7">
        <v>5.8710007435549633E-2</v>
      </c>
      <c r="P370" s="7">
        <f t="shared" si="87"/>
        <v>0.19186120934150663</v>
      </c>
      <c r="Q370" s="7">
        <f t="shared" si="91"/>
        <v>0.133151201905957</v>
      </c>
      <c r="R370" s="7">
        <f t="shared" si="88"/>
        <v>-0.24233826813073556</v>
      </c>
      <c r="S370" s="7">
        <f t="shared" si="92"/>
        <v>-2.4083862045302818E-2</v>
      </c>
      <c r="T370" s="7">
        <f t="shared" si="93"/>
        <v>1</v>
      </c>
      <c r="U370" s="7">
        <f t="shared" si="89"/>
        <v>0.56619870337105405</v>
      </c>
      <c r="V370" s="7">
        <f t="shared" si="94"/>
        <v>4.821142611387292E-2</v>
      </c>
      <c r="W370" s="7">
        <f t="shared" si="95"/>
        <v>0</v>
      </c>
      <c r="X370" s="8" t="s">
        <v>3</v>
      </c>
      <c r="Y370" s="7">
        <v>0.41594290473140383</v>
      </c>
      <c r="Z370" s="7">
        <v>0.19186120934150663</v>
      </c>
      <c r="AC370" s="7">
        <f t="shared" si="96"/>
        <v>0.43419947747224219</v>
      </c>
      <c r="AD370" s="7">
        <f t="shared" si="97"/>
        <v>0.37433749402954741</v>
      </c>
      <c r="AE370" s="6" t="s">
        <v>3</v>
      </c>
      <c r="AF370" s="6" t="s">
        <v>3</v>
      </c>
      <c r="AG370" s="6" t="s">
        <v>3</v>
      </c>
      <c r="AH370" s="6" t="s">
        <v>3</v>
      </c>
      <c r="AI370" s="6" t="s">
        <v>3</v>
      </c>
      <c r="AJ370" s="6" t="s">
        <v>3</v>
      </c>
      <c r="AK370" s="5">
        <f t="shared" si="98"/>
        <v>709.52633998141232</v>
      </c>
      <c r="AL370" s="7">
        <f t="shared" si="99"/>
        <v>-0.24233826813073556</v>
      </c>
      <c r="AM370" s="7">
        <f t="shared" si="100"/>
        <v>0.56619870337105405</v>
      </c>
    </row>
    <row r="371" spans="10:39" x14ac:dyDescent="0.25">
      <c r="J371" s="3">
        <v>365</v>
      </c>
      <c r="K371" s="7">
        <v>0.4171780915975698</v>
      </c>
      <c r="L371" s="7">
        <f t="shared" si="90"/>
        <v>0.20423006953200518</v>
      </c>
      <c r="M371" s="7">
        <f t="shared" ca="1" si="85"/>
        <v>0.37103415699077769</v>
      </c>
      <c r="N371" s="7">
        <f t="shared" si="86"/>
        <v>0.4171780915975698</v>
      </c>
      <c r="O371" s="7">
        <v>0.32102682903969781</v>
      </c>
      <c r="P371" s="7">
        <f t="shared" si="87"/>
        <v>0.19357058644954916</v>
      </c>
      <c r="Q371" s="7">
        <f t="shared" si="91"/>
        <v>-0.12745624259014865</v>
      </c>
      <c r="R371" s="7">
        <f t="shared" si="88"/>
        <v>-0.24124106967279335</v>
      </c>
      <c r="S371" s="7">
        <f t="shared" si="92"/>
        <v>-4.4981431896999297E-2</v>
      </c>
      <c r="T371" s="7">
        <f t="shared" si="93"/>
        <v>1</v>
      </c>
      <c r="U371" s="7">
        <f t="shared" si="89"/>
        <v>0.56942524183339738</v>
      </c>
      <c r="V371" s="7">
        <f t="shared" si="94"/>
        <v>2.3597849215401458E-2</v>
      </c>
      <c r="W371" s="7">
        <f t="shared" si="95"/>
        <v>0</v>
      </c>
      <c r="X371" s="8" t="s">
        <v>3</v>
      </c>
      <c r="Y371" s="7">
        <v>0.4171780915975698</v>
      </c>
      <c r="Z371" s="7">
        <v>0.19357058644954916</v>
      </c>
      <c r="AC371" s="7">
        <f t="shared" si="96"/>
        <v>0.43481165612234252</v>
      </c>
      <c r="AD371" s="7">
        <f t="shared" si="97"/>
        <v>0.37585465538384821</v>
      </c>
      <c r="AE371" s="6" t="s">
        <v>3</v>
      </c>
      <c r="AF371" s="6" t="s">
        <v>3</v>
      </c>
      <c r="AG371" s="6" t="s">
        <v>3</v>
      </c>
      <c r="AH371" s="6" t="s">
        <v>3</v>
      </c>
      <c r="AI371" s="6" t="s">
        <v>3</v>
      </c>
      <c r="AJ371" s="6" t="s">
        <v>3</v>
      </c>
      <c r="AK371" s="5">
        <f t="shared" si="98"/>
        <v>710.14717769730476</v>
      </c>
      <c r="AL371" s="7">
        <f t="shared" si="99"/>
        <v>-0.24124106967279335</v>
      </c>
      <c r="AM371" s="7">
        <f t="shared" si="100"/>
        <v>0.56942524183339738</v>
      </c>
    </row>
    <row r="372" spans="10:39" x14ac:dyDescent="0.25">
      <c r="J372" s="3">
        <v>366</v>
      </c>
      <c r="K372" s="7">
        <v>0.41899226852993454</v>
      </c>
      <c r="L372" s="7">
        <f t="shared" si="90"/>
        <v>0.20666795743917041</v>
      </c>
      <c r="M372" s="7">
        <f t="shared" ca="1" si="85"/>
        <v>-9.1109136605224766E-2</v>
      </c>
      <c r="N372" s="7">
        <f t="shared" si="86"/>
        <v>0.41899226852993454</v>
      </c>
      <c r="O372" s="7">
        <v>0.41741299496666062</v>
      </c>
      <c r="P372" s="7">
        <f t="shared" si="87"/>
        <v>0.19609687826673117</v>
      </c>
      <c r="Q372" s="7">
        <f t="shared" si="91"/>
        <v>-0.22131611669992945</v>
      </c>
      <c r="R372" s="7">
        <f t="shared" si="88"/>
        <v>-0.23960277243266237</v>
      </c>
      <c r="S372" s="7">
        <f t="shared" si="92"/>
        <v>-5.2561261391945842E-2</v>
      </c>
      <c r="T372" s="7">
        <f t="shared" si="93"/>
        <v>1</v>
      </c>
      <c r="U372" s="7">
        <f t="shared" si="89"/>
        <v>0.57420436479582881</v>
      </c>
      <c r="V372" s="7">
        <f t="shared" si="94"/>
        <v>1.4895180133770978E-2</v>
      </c>
      <c r="W372" s="7">
        <f t="shared" si="95"/>
        <v>0</v>
      </c>
      <c r="X372" s="8" t="s">
        <v>3</v>
      </c>
      <c r="Y372" s="7">
        <v>0.41899226852993454</v>
      </c>
      <c r="Z372" s="7">
        <v>0.19609687826673117</v>
      </c>
      <c r="AC372" s="7">
        <f t="shared" si="96"/>
        <v>0.43569965069939354</v>
      </c>
      <c r="AD372" s="7">
        <f t="shared" si="97"/>
        <v>0.37810748652909765</v>
      </c>
      <c r="AE372" s="6" t="s">
        <v>3</v>
      </c>
      <c r="AF372" s="6" t="s">
        <v>3</v>
      </c>
      <c r="AG372" s="6" t="s">
        <v>3</v>
      </c>
      <c r="AH372" s="6" t="s">
        <v>3</v>
      </c>
      <c r="AI372" s="6" t="s">
        <v>3</v>
      </c>
      <c r="AJ372" s="6" t="s">
        <v>3</v>
      </c>
      <c r="AK372" s="5">
        <f t="shared" si="98"/>
        <v>711.05903119394225</v>
      </c>
      <c r="AL372" s="7">
        <f t="shared" si="99"/>
        <v>-0.23960277243266237</v>
      </c>
      <c r="AM372" s="7">
        <f t="shared" si="100"/>
        <v>0.57420436479582881</v>
      </c>
    </row>
    <row r="373" spans="10:39" x14ac:dyDescent="0.25">
      <c r="J373" s="3">
        <v>367</v>
      </c>
      <c r="K373" s="7">
        <v>0.42006774509120959</v>
      </c>
      <c r="L373" s="7">
        <f t="shared" si="90"/>
        <v>0.20811728516525868</v>
      </c>
      <c r="M373" s="7">
        <f t="shared" ca="1" si="85"/>
        <v>0.22673318011827717</v>
      </c>
      <c r="N373" s="7">
        <f t="shared" si="86"/>
        <v>0.42006774509120959</v>
      </c>
      <c r="O373" s="7">
        <v>0.18895511918516322</v>
      </c>
      <c r="P373" s="7">
        <f t="shared" si="87"/>
        <v>0.19760322482566162</v>
      </c>
      <c r="Q373" s="7">
        <f t="shared" si="91"/>
        <v>8.6481056404983936E-3</v>
      </c>
      <c r="R373" s="7">
        <f t="shared" si="88"/>
        <v>-0.23861634076122762</v>
      </c>
      <c r="S373" s="7">
        <f t="shared" si="92"/>
        <v>-3.4205716795711265E-2</v>
      </c>
      <c r="T373" s="7">
        <f t="shared" si="93"/>
        <v>1</v>
      </c>
      <c r="U373" s="7">
        <f t="shared" si="89"/>
        <v>0.57705984843683544</v>
      </c>
      <c r="V373" s="7">
        <f t="shared" si="94"/>
        <v>3.686994927890886E-2</v>
      </c>
      <c r="W373" s="7">
        <f t="shared" si="95"/>
        <v>0</v>
      </c>
      <c r="X373" s="8" t="s">
        <v>3</v>
      </c>
      <c r="Y373" s="7">
        <v>0.42006774509120959</v>
      </c>
      <c r="Z373" s="7">
        <v>0.19760322482566162</v>
      </c>
      <c r="AC373" s="7">
        <f t="shared" si="96"/>
        <v>0.43621956558688924</v>
      </c>
      <c r="AD373" s="7">
        <f t="shared" si="97"/>
        <v>0.37945662361117383</v>
      </c>
      <c r="AE373" s="6" t="s">
        <v>3</v>
      </c>
      <c r="AF373" s="6" t="s">
        <v>3</v>
      </c>
      <c r="AG373" s="6" t="s">
        <v>3</v>
      </c>
      <c r="AH373" s="6" t="s">
        <v>3</v>
      </c>
      <c r="AI373" s="6" t="s">
        <v>3</v>
      </c>
      <c r="AJ373" s="6" t="s">
        <v>3</v>
      </c>
      <c r="AK373" s="5">
        <f t="shared" si="98"/>
        <v>711.59959426993294</v>
      </c>
      <c r="AL373" s="7">
        <f t="shared" si="99"/>
        <v>-0.23861634076122762</v>
      </c>
      <c r="AM373" s="7">
        <f t="shared" si="100"/>
        <v>0.57705984843683544</v>
      </c>
    </row>
    <row r="374" spans="10:39" x14ac:dyDescent="0.25">
      <c r="J374" s="3">
        <v>368</v>
      </c>
      <c r="K374" s="7">
        <v>0.42324953337988425</v>
      </c>
      <c r="L374" s="7">
        <f t="shared" si="90"/>
        <v>0.2124223864008534</v>
      </c>
      <c r="M374" s="7">
        <f t="shared" ca="1" si="85"/>
        <v>7.1353133520516671E-2</v>
      </c>
      <c r="N374" s="7">
        <f t="shared" si="86"/>
        <v>0.42324953337988425</v>
      </c>
      <c r="O374" s="7">
        <v>0.52360903524261904</v>
      </c>
      <c r="P374" s="7">
        <f t="shared" si="87"/>
        <v>0.20209721529079161</v>
      </c>
      <c r="Q374" s="7">
        <f t="shared" si="91"/>
        <v>-0.32151181995182743</v>
      </c>
      <c r="R374" s="7">
        <f t="shared" si="88"/>
        <v>-0.23563057112389352</v>
      </c>
      <c r="S374" s="7">
        <f t="shared" si="92"/>
        <v>-6.0739168509321005E-2</v>
      </c>
      <c r="T374" s="7">
        <f t="shared" si="93"/>
        <v>1</v>
      </c>
      <c r="U374" s="7">
        <f t="shared" si="89"/>
        <v>0.58560359284050079</v>
      </c>
      <c r="V374" s="7">
        <f t="shared" si="94"/>
        <v>5.8894829717987662E-3</v>
      </c>
      <c r="W374" s="7">
        <f t="shared" si="95"/>
        <v>0</v>
      </c>
      <c r="X374" s="8" t="s">
        <v>3</v>
      </c>
      <c r="Y374" s="7">
        <v>0.42324953337988425</v>
      </c>
      <c r="Z374" s="7">
        <v>0.20209721529079161</v>
      </c>
      <c r="AC374" s="7">
        <f t="shared" si="96"/>
        <v>0.43772778641468513</v>
      </c>
      <c r="AD374" s="7">
        <f t="shared" si="97"/>
        <v>0.38350637754970918</v>
      </c>
      <c r="AE374" s="6" t="s">
        <v>3</v>
      </c>
      <c r="AF374" s="6" t="s">
        <v>3</v>
      </c>
      <c r="AG374" s="6" t="s">
        <v>3</v>
      </c>
      <c r="AH374" s="6" t="s">
        <v>3</v>
      </c>
      <c r="AI374" s="6" t="s">
        <v>3</v>
      </c>
      <c r="AJ374" s="6" t="s">
        <v>3</v>
      </c>
      <c r="AK374" s="5">
        <f t="shared" si="98"/>
        <v>713.19884554737382</v>
      </c>
      <c r="AL374" s="7">
        <f t="shared" si="99"/>
        <v>-0.23563057112389352</v>
      </c>
      <c r="AM374" s="7">
        <f t="shared" si="100"/>
        <v>0.58560359284050079</v>
      </c>
    </row>
    <row r="375" spans="10:39" x14ac:dyDescent="0.25">
      <c r="J375" s="3">
        <v>369</v>
      </c>
      <c r="K375" s="7">
        <v>0.42379839802121388</v>
      </c>
      <c r="L375" s="7">
        <f t="shared" si="90"/>
        <v>0.21316756236603432</v>
      </c>
      <c r="M375" s="7">
        <f t="shared" ca="1" si="85"/>
        <v>0.44027544134210228</v>
      </c>
      <c r="N375" s="7">
        <f t="shared" si="86"/>
        <v>0.42379839802121388</v>
      </c>
      <c r="O375" s="7">
        <v>-0.14419312148949476</v>
      </c>
      <c r="P375" s="7">
        <f t="shared" si="87"/>
        <v>0.20287803858757592</v>
      </c>
      <c r="Q375" s="7">
        <f t="shared" si="91"/>
        <v>0.34707116007707067</v>
      </c>
      <c r="R375" s="7">
        <f t="shared" si="88"/>
        <v>-0.23510520008374591</v>
      </c>
      <c r="S375" s="7">
        <f t="shared" si="92"/>
        <v>-7.2729662875400929E-3</v>
      </c>
      <c r="T375" s="7">
        <f t="shared" si="93"/>
        <v>1</v>
      </c>
      <c r="U375" s="7">
        <f t="shared" si="89"/>
        <v>0.5870916970761717</v>
      </c>
      <c r="V375" s="7">
        <f t="shared" si="94"/>
        <v>6.9472057763738312E-2</v>
      </c>
      <c r="W375" s="7">
        <f t="shared" si="95"/>
        <v>0</v>
      </c>
      <c r="X375" s="8" t="s">
        <v>3</v>
      </c>
      <c r="Y375" s="7">
        <v>0.42379839802121388</v>
      </c>
      <c r="Z375" s="7">
        <v>0.20287803858757592</v>
      </c>
      <c r="AC375" s="7">
        <f t="shared" si="96"/>
        <v>0.43798323867132183</v>
      </c>
      <c r="AD375" s="7">
        <f t="shared" si="97"/>
        <v>0.38421365848859579</v>
      </c>
      <c r="AE375" s="6" t="s">
        <v>3</v>
      </c>
      <c r="AF375" s="6" t="s">
        <v>3</v>
      </c>
      <c r="AG375" s="6" t="s">
        <v>3</v>
      </c>
      <c r="AH375" s="6" t="s">
        <v>3</v>
      </c>
      <c r="AI375" s="6" t="s">
        <v>3</v>
      </c>
      <c r="AJ375" s="6" t="s">
        <v>3</v>
      </c>
      <c r="AK375" s="5">
        <f t="shared" si="98"/>
        <v>713.47471948968257</v>
      </c>
      <c r="AL375" s="7">
        <f t="shared" si="99"/>
        <v>-0.23510520008374591</v>
      </c>
      <c r="AM375" s="7">
        <f t="shared" si="100"/>
        <v>0.5870916970761717</v>
      </c>
    </row>
    <row r="376" spans="10:39" x14ac:dyDescent="0.25">
      <c r="J376" s="3">
        <v>370</v>
      </c>
      <c r="K376" s="7">
        <v>0.42413373952771338</v>
      </c>
      <c r="L376" s="7">
        <f t="shared" si="90"/>
        <v>0.21362320311347724</v>
      </c>
      <c r="M376" s="7">
        <f t="shared" ca="1" si="85"/>
        <v>0.32253412202812048</v>
      </c>
      <c r="N376" s="7">
        <f t="shared" si="86"/>
        <v>0.42413373952771338</v>
      </c>
      <c r="O376" s="7">
        <v>-0.18829076760978625</v>
      </c>
      <c r="P376" s="7">
        <f t="shared" si="87"/>
        <v>0.20335590359007094</v>
      </c>
      <c r="Q376" s="7">
        <f t="shared" si="91"/>
        <v>0.39164667119985719</v>
      </c>
      <c r="R376" s="7">
        <f t="shared" si="88"/>
        <v>-0.23478270247619726</v>
      </c>
      <c r="S376" s="7">
        <f t="shared" si="92"/>
        <v>-3.7193547893128809E-3</v>
      </c>
      <c r="T376" s="7">
        <f t="shared" si="93"/>
        <v>1</v>
      </c>
      <c r="U376" s="7">
        <f t="shared" si="89"/>
        <v>0.58800293363406531</v>
      </c>
      <c r="V376" s="7">
        <f t="shared" si="94"/>
        <v>7.3747901618165898E-2</v>
      </c>
      <c r="W376" s="7">
        <f t="shared" si="95"/>
        <v>0</v>
      </c>
      <c r="X376" s="8" t="s">
        <v>3</v>
      </c>
      <c r="Y376" s="7">
        <v>0.42413373952771338</v>
      </c>
      <c r="Z376" s="7">
        <v>0.20335590359007094</v>
      </c>
      <c r="AC376" s="7">
        <f t="shared" si="96"/>
        <v>0.4381386060662682</v>
      </c>
      <c r="AD376" s="7">
        <f t="shared" si="97"/>
        <v>0.38464703004399436</v>
      </c>
      <c r="AE376" s="6" t="s">
        <v>3</v>
      </c>
      <c r="AF376" s="6" t="s">
        <v>3</v>
      </c>
      <c r="AG376" s="6" t="s">
        <v>3</v>
      </c>
      <c r="AH376" s="6" t="s">
        <v>3</v>
      </c>
      <c r="AI376" s="6" t="s">
        <v>3</v>
      </c>
      <c r="AJ376" s="6" t="s">
        <v>3</v>
      </c>
      <c r="AK376" s="5">
        <f t="shared" si="98"/>
        <v>713.64327103491178</v>
      </c>
      <c r="AL376" s="7">
        <f t="shared" si="99"/>
        <v>-0.23478270247619726</v>
      </c>
      <c r="AM376" s="7">
        <f t="shared" si="100"/>
        <v>0.58800293363406531</v>
      </c>
    </row>
    <row r="377" spans="10:39" x14ac:dyDescent="0.25">
      <c r="J377" s="3">
        <v>371</v>
      </c>
      <c r="K377" s="7">
        <v>0.42864354576378849</v>
      </c>
      <c r="L377" s="7">
        <f t="shared" si="90"/>
        <v>0.2197763365941999</v>
      </c>
      <c r="M377" s="7">
        <f t="shared" ca="1" si="85"/>
        <v>0.20855879321752477</v>
      </c>
      <c r="N377" s="7">
        <f t="shared" si="86"/>
        <v>0.42864354576378849</v>
      </c>
      <c r="O377" s="7">
        <v>0.40396504990153115</v>
      </c>
      <c r="P377" s="7">
        <f t="shared" si="87"/>
        <v>0.20984076397306417</v>
      </c>
      <c r="Q377" s="7">
        <f t="shared" si="91"/>
        <v>-0.19412428592846698</v>
      </c>
      <c r="R377" s="7">
        <f t="shared" si="88"/>
        <v>-0.23033283569550722</v>
      </c>
      <c r="S377" s="7">
        <f t="shared" si="92"/>
        <v>-5.0743830847763072E-2</v>
      </c>
      <c r="T377" s="7">
        <f t="shared" si="93"/>
        <v>1</v>
      </c>
      <c r="U377" s="7">
        <f t="shared" si="89"/>
        <v>0.60040574143050107</v>
      </c>
      <c r="V377" s="7">
        <f t="shared" si="94"/>
        <v>1.8661865695252144E-2</v>
      </c>
      <c r="W377" s="7">
        <f t="shared" si="95"/>
        <v>0</v>
      </c>
      <c r="X377" s="8" t="s">
        <v>3</v>
      </c>
      <c r="Y377" s="7">
        <v>0.42864354576378849</v>
      </c>
      <c r="Z377" s="7">
        <v>0.20984076397306417</v>
      </c>
      <c r="AC377" s="7">
        <f t="shared" si="96"/>
        <v>0.44017359966857139</v>
      </c>
      <c r="AD377" s="7">
        <f t="shared" si="97"/>
        <v>0.3905649774574369</v>
      </c>
      <c r="AE377" s="6" t="s">
        <v>3</v>
      </c>
      <c r="AF377" s="6" t="s">
        <v>3</v>
      </c>
      <c r="AG377" s="6" t="s">
        <v>3</v>
      </c>
      <c r="AH377" s="6" t="s">
        <v>3</v>
      </c>
      <c r="AI377" s="6" t="s">
        <v>3</v>
      </c>
      <c r="AJ377" s="6" t="s">
        <v>3</v>
      </c>
      <c r="AK377" s="5">
        <f t="shared" si="98"/>
        <v>715.91001939454532</v>
      </c>
      <c r="AL377" s="7">
        <f t="shared" si="99"/>
        <v>-0.23033283569550722</v>
      </c>
      <c r="AM377" s="7">
        <f t="shared" si="100"/>
        <v>0.60040574143050107</v>
      </c>
    </row>
    <row r="378" spans="10:39" x14ac:dyDescent="0.25">
      <c r="J378" s="3">
        <v>372</v>
      </c>
      <c r="K378" s="7">
        <v>0.43191066679124934</v>
      </c>
      <c r="L378" s="7">
        <f t="shared" si="90"/>
        <v>0.22426199297661711</v>
      </c>
      <c r="M378" s="7">
        <f t="shared" ca="1" si="85"/>
        <v>-5.499613242105611E-2</v>
      </c>
      <c r="N378" s="7">
        <f t="shared" si="86"/>
        <v>0.43191066679124934</v>
      </c>
      <c r="O378" s="7">
        <v>8.7151766788236829E-3</v>
      </c>
      <c r="P378" s="7">
        <f t="shared" si="87"/>
        <v>0.21460501293886525</v>
      </c>
      <c r="Q378" s="7">
        <f t="shared" si="91"/>
        <v>0.20588983626004156</v>
      </c>
      <c r="R378" s="7">
        <f t="shared" si="88"/>
        <v>-0.22697538404969553</v>
      </c>
      <c r="S378" s="7">
        <f t="shared" si="92"/>
        <v>-1.8855244858281536E-2</v>
      </c>
      <c r="T378" s="7">
        <f t="shared" si="93"/>
        <v>1</v>
      </c>
      <c r="U378" s="7">
        <f t="shared" si="89"/>
        <v>0.60955841772883335</v>
      </c>
      <c r="V378" s="7">
        <f t="shared" si="94"/>
        <v>5.7080107899750918E-2</v>
      </c>
      <c r="W378" s="7">
        <f t="shared" si="95"/>
        <v>0</v>
      </c>
      <c r="X378" s="8" t="s">
        <v>3</v>
      </c>
      <c r="Y378" s="7">
        <v>0.43191066679124934</v>
      </c>
      <c r="Z378" s="7">
        <v>0.21460501293886525</v>
      </c>
      <c r="AC378" s="7">
        <f t="shared" si="96"/>
        <v>0.44158039698856077</v>
      </c>
      <c r="AD378" s="7">
        <f t="shared" si="97"/>
        <v>0.3949534047899681</v>
      </c>
      <c r="AE378" s="6" t="s">
        <v>3</v>
      </c>
      <c r="AF378" s="6" t="s">
        <v>3</v>
      </c>
      <c r="AG378" s="6" t="s">
        <v>3</v>
      </c>
      <c r="AH378" s="6" t="s">
        <v>3</v>
      </c>
      <c r="AI378" s="6" t="s">
        <v>3</v>
      </c>
      <c r="AJ378" s="6" t="s">
        <v>3</v>
      </c>
      <c r="AK378" s="5">
        <f t="shared" si="98"/>
        <v>717.55216117227405</v>
      </c>
      <c r="AL378" s="7">
        <f t="shared" si="99"/>
        <v>-0.22697538404969553</v>
      </c>
      <c r="AM378" s="7">
        <f t="shared" si="100"/>
        <v>0.60955841772883335</v>
      </c>
    </row>
    <row r="379" spans="10:39" x14ac:dyDescent="0.25">
      <c r="J379" s="3">
        <v>373</v>
      </c>
      <c r="K379" s="7">
        <v>0.43624705301026645</v>
      </c>
      <c r="L379" s="7">
        <f t="shared" si="90"/>
        <v>0.23024889114172187</v>
      </c>
      <c r="M379" s="7">
        <f t="shared" ca="1" si="85"/>
        <v>4.8943800929752708E-2</v>
      </c>
      <c r="N379" s="7">
        <f t="shared" si="86"/>
        <v>0.43624705301026645</v>
      </c>
      <c r="O379" s="7">
        <v>-0.12695419572079356</v>
      </c>
      <c r="P379" s="7">
        <f t="shared" si="87"/>
        <v>0.22101135442389408</v>
      </c>
      <c r="Q379" s="7">
        <f t="shared" si="91"/>
        <v>0.34796555014468766</v>
      </c>
      <c r="R379" s="7">
        <f t="shared" si="88"/>
        <v>-0.22234063294220618</v>
      </c>
      <c r="S379" s="7">
        <f t="shared" si="92"/>
        <v>-7.6309149777130103E-3</v>
      </c>
      <c r="T379" s="7">
        <f t="shared" si="93"/>
        <v>1</v>
      </c>
      <c r="U379" s="7">
        <f t="shared" si="89"/>
        <v>0.62191388643670353</v>
      </c>
      <c r="V379" s="7">
        <f t="shared" si="94"/>
        <v>7.1142467804962223E-2</v>
      </c>
      <c r="W379" s="7">
        <f t="shared" si="95"/>
        <v>0</v>
      </c>
      <c r="X379" s="8" t="s">
        <v>3</v>
      </c>
      <c r="Y379" s="7">
        <v>0.43624705301026645</v>
      </c>
      <c r="Z379" s="7">
        <v>0.22101135442389408</v>
      </c>
      <c r="AC379" s="7">
        <f t="shared" si="96"/>
        <v>0.44335198736610026</v>
      </c>
      <c r="AD379" s="7">
        <f t="shared" si="97"/>
        <v>0.40090253201280945</v>
      </c>
      <c r="AE379" s="6" t="s">
        <v>3</v>
      </c>
      <c r="AF379" s="6" t="s">
        <v>3</v>
      </c>
      <c r="AG379" s="6" t="s">
        <v>3</v>
      </c>
      <c r="AH379" s="6" t="s">
        <v>3</v>
      </c>
      <c r="AI379" s="6" t="s">
        <v>3</v>
      </c>
      <c r="AJ379" s="6" t="s">
        <v>3</v>
      </c>
      <c r="AK379" s="5">
        <f t="shared" si="98"/>
        <v>719.73174402664711</v>
      </c>
      <c r="AL379" s="7">
        <f t="shared" si="99"/>
        <v>-0.22234063294220618</v>
      </c>
      <c r="AM379" s="7">
        <f t="shared" si="100"/>
        <v>0.62191388643670353</v>
      </c>
    </row>
    <row r="380" spans="10:39" x14ac:dyDescent="0.25">
      <c r="J380" s="3">
        <v>374</v>
      </c>
      <c r="K380" s="7">
        <v>0.43652114145597531</v>
      </c>
      <c r="L380" s="7">
        <f t="shared" si="90"/>
        <v>0.23062849288065629</v>
      </c>
      <c r="M380" s="7">
        <f t="shared" ca="1" si="85"/>
        <v>0.12035767975239256</v>
      </c>
      <c r="N380" s="7">
        <f t="shared" si="86"/>
        <v>0.43652114145597531</v>
      </c>
      <c r="O380" s="7">
        <v>0.14128387989634192</v>
      </c>
      <c r="P380" s="7">
        <f t="shared" si="87"/>
        <v>0.22141936791802053</v>
      </c>
      <c r="Q380" s="7">
        <f t="shared" si="91"/>
        <v>8.0135488021678608E-2</v>
      </c>
      <c r="R380" s="7">
        <f t="shared" si="88"/>
        <v>-0.22204072757576743</v>
      </c>
      <c r="S380" s="7">
        <f t="shared" si="92"/>
        <v>-2.9065968597768749E-2</v>
      </c>
      <c r="T380" s="7">
        <f t="shared" si="93"/>
        <v>1</v>
      </c>
      <c r="U380" s="7">
        <f t="shared" si="89"/>
        <v>0.62270250886646417</v>
      </c>
      <c r="V380" s="7">
        <f t="shared" si="94"/>
        <v>4.5734769752161612E-2</v>
      </c>
      <c r="W380" s="7">
        <f t="shared" si="95"/>
        <v>0</v>
      </c>
      <c r="X380" s="8" t="s">
        <v>3</v>
      </c>
      <c r="Y380" s="7">
        <v>0.43652114145597531</v>
      </c>
      <c r="Z380" s="7">
        <v>0.22141936791802053</v>
      </c>
      <c r="AC380" s="7">
        <f t="shared" si="96"/>
        <v>0.44346009549378795</v>
      </c>
      <c r="AD380" s="7">
        <f t="shared" si="97"/>
        <v>0.40128314094844364</v>
      </c>
      <c r="AE380" s="6" t="s">
        <v>3</v>
      </c>
      <c r="AF380" s="6" t="s">
        <v>3</v>
      </c>
      <c r="AG380" s="6" t="s">
        <v>3</v>
      </c>
      <c r="AH380" s="6" t="s">
        <v>3</v>
      </c>
      <c r="AI380" s="6" t="s">
        <v>3</v>
      </c>
      <c r="AJ380" s="6" t="s">
        <v>3</v>
      </c>
      <c r="AK380" s="5">
        <f t="shared" si="98"/>
        <v>719.86950815711805</v>
      </c>
      <c r="AL380" s="7">
        <f t="shared" si="99"/>
        <v>-0.22204072757576743</v>
      </c>
      <c r="AM380" s="7">
        <f t="shared" si="100"/>
        <v>0.62270250886646417</v>
      </c>
    </row>
    <row r="381" spans="10:39" x14ac:dyDescent="0.25">
      <c r="J381" s="3">
        <v>375</v>
      </c>
      <c r="K381" s="7">
        <v>0.44548957469626838</v>
      </c>
      <c r="L381" s="7">
        <f t="shared" si="90"/>
        <v>0.2431180113306278</v>
      </c>
      <c r="M381" s="7">
        <f t="shared" ca="1" si="85"/>
        <v>0.20517173282335624</v>
      </c>
      <c r="N381" s="7">
        <f t="shared" si="86"/>
        <v>0.44548957469626838</v>
      </c>
      <c r="O381" s="7">
        <v>7.6209883303709716E-2</v>
      </c>
      <c r="P381" s="7">
        <f t="shared" si="87"/>
        <v>0.23496218269795399</v>
      </c>
      <c r="Q381" s="7">
        <f t="shared" si="91"/>
        <v>0.15875229939424429</v>
      </c>
      <c r="R381" s="7">
        <f t="shared" si="88"/>
        <v>-0.2117585157295041</v>
      </c>
      <c r="S381" s="7">
        <f t="shared" si="92"/>
        <v>-2.3037471922657104E-2</v>
      </c>
      <c r="T381" s="7">
        <f t="shared" si="93"/>
        <v>1</v>
      </c>
      <c r="U381" s="7">
        <f t="shared" si="89"/>
        <v>0.64897673536680478</v>
      </c>
      <c r="V381" s="7">
        <f t="shared" si="94"/>
        <v>5.4412850945994032E-2</v>
      </c>
      <c r="W381" s="7">
        <f t="shared" si="95"/>
        <v>0</v>
      </c>
      <c r="X381" s="8" t="s">
        <v>3</v>
      </c>
      <c r="Y381" s="7">
        <v>0.44548957469626838</v>
      </c>
      <c r="Z381" s="7">
        <v>0.23496218269795399</v>
      </c>
      <c r="AC381" s="7">
        <f t="shared" si="96"/>
        <v>0.4467206984274581</v>
      </c>
      <c r="AD381" s="7">
        <f t="shared" si="97"/>
        <v>0.41401455266885079</v>
      </c>
      <c r="AE381" s="6" t="s">
        <v>3</v>
      </c>
      <c r="AF381" s="6" t="s">
        <v>3</v>
      </c>
      <c r="AG381" s="6" t="s">
        <v>3</v>
      </c>
      <c r="AH381" s="6" t="s">
        <v>3</v>
      </c>
      <c r="AI381" s="6" t="s">
        <v>3</v>
      </c>
      <c r="AJ381" s="6" t="s">
        <v>3</v>
      </c>
      <c r="AK381" s="5">
        <f t="shared" si="98"/>
        <v>724.37728083553111</v>
      </c>
      <c r="AL381" s="7">
        <f t="shared" si="99"/>
        <v>-0.2117585157295041</v>
      </c>
      <c r="AM381" s="7">
        <f t="shared" si="100"/>
        <v>0.64897673536680478</v>
      </c>
    </row>
    <row r="382" spans="10:39" x14ac:dyDescent="0.25">
      <c r="J382" s="3">
        <v>376</v>
      </c>
      <c r="K382" s="7">
        <v>0.44639217177081747</v>
      </c>
      <c r="L382" s="7">
        <f t="shared" si="90"/>
        <v>0.24438157092733573</v>
      </c>
      <c r="M382" s="7">
        <f t="shared" ca="1" si="85"/>
        <v>0.36118909861186332</v>
      </c>
      <c r="N382" s="7">
        <f t="shared" si="86"/>
        <v>0.44639217177081747</v>
      </c>
      <c r="O382" s="7">
        <v>0.38377238977787093</v>
      </c>
      <c r="P382" s="7">
        <f t="shared" si="87"/>
        <v>0.23634491439709215</v>
      </c>
      <c r="Q382" s="7">
        <f t="shared" si="91"/>
        <v>-0.14742747538077877</v>
      </c>
      <c r="R382" s="7">
        <f t="shared" si="88"/>
        <v>-0.21067233566663113</v>
      </c>
      <c r="S382" s="7">
        <f t="shared" si="92"/>
        <v>-4.755557803556016E-2</v>
      </c>
      <c r="T382" s="7">
        <f t="shared" si="93"/>
        <v>1</v>
      </c>
      <c r="U382" s="7">
        <f t="shared" si="89"/>
        <v>0.65166858897780178</v>
      </c>
      <c r="V382" s="7">
        <f t="shared" si="94"/>
        <v>2.5450138923993431E-2</v>
      </c>
      <c r="W382" s="7">
        <f t="shared" si="95"/>
        <v>0</v>
      </c>
      <c r="X382" s="8" t="s">
        <v>3</v>
      </c>
      <c r="Y382" s="7">
        <v>0.44639217177081747</v>
      </c>
      <c r="Z382" s="7">
        <v>0.23634491439709215</v>
      </c>
      <c r="AC382" s="7">
        <f t="shared" si="96"/>
        <v>0.44701725006372328</v>
      </c>
      <c r="AD382" s="7">
        <f t="shared" si="97"/>
        <v>0.41532367458070962</v>
      </c>
      <c r="AE382" s="6" t="s">
        <v>3</v>
      </c>
      <c r="AF382" s="6" t="s">
        <v>3</v>
      </c>
      <c r="AG382" s="6" t="s">
        <v>3</v>
      </c>
      <c r="AH382" s="6" t="s">
        <v>3</v>
      </c>
      <c r="AI382" s="6" t="s">
        <v>3</v>
      </c>
      <c r="AJ382" s="6" t="s">
        <v>3</v>
      </c>
      <c r="AK382" s="5">
        <f t="shared" si="98"/>
        <v>724.83095009115857</v>
      </c>
      <c r="AL382" s="7">
        <f t="shared" si="99"/>
        <v>-0.21067233566663113</v>
      </c>
      <c r="AM382" s="7">
        <f t="shared" si="100"/>
        <v>0.65166858897780178</v>
      </c>
    </row>
    <row r="383" spans="10:39" x14ac:dyDescent="0.25">
      <c r="J383" s="3">
        <v>377</v>
      </c>
      <c r="K383" s="7">
        <v>0.45561269587468711</v>
      </c>
      <c r="L383" s="7">
        <f t="shared" si="90"/>
        <v>0.25734284344510994</v>
      </c>
      <c r="M383" s="7">
        <f t="shared" ca="1" si="85"/>
        <v>0.17132624617741557</v>
      </c>
      <c r="N383" s="7">
        <f t="shared" si="86"/>
        <v>0.45561269587468711</v>
      </c>
      <c r="O383" s="7">
        <v>0.60697723943027526</v>
      </c>
      <c r="P383" s="7">
        <f t="shared" si="87"/>
        <v>0.25065799633424657</v>
      </c>
      <c r="Q383" s="7">
        <f t="shared" si="91"/>
        <v>-0.35631924309602869</v>
      </c>
      <c r="R383" s="7">
        <f t="shared" si="88"/>
        <v>-0.19902162145831603</v>
      </c>
      <c r="S383" s="7">
        <f t="shared" si="92"/>
        <v>-6.4479908871087302E-2</v>
      </c>
      <c r="T383" s="7">
        <f t="shared" si="93"/>
        <v>1</v>
      </c>
      <c r="U383" s="7">
        <f t="shared" si="89"/>
        <v>0.67960266380011025</v>
      </c>
      <c r="V383" s="7">
        <f t="shared" si="94"/>
        <v>6.8994153151343239E-3</v>
      </c>
      <c r="W383" s="7">
        <f t="shared" si="95"/>
        <v>0</v>
      </c>
      <c r="X383" s="8" t="s">
        <v>3</v>
      </c>
      <c r="Y383" s="7">
        <v>0.45561269587468711</v>
      </c>
      <c r="Z383" s="7">
        <v>0.25065799633424657</v>
      </c>
      <c r="AC383" s="7">
        <f t="shared" si="96"/>
        <v>0.4496796177925626</v>
      </c>
      <c r="AD383" s="7">
        <f t="shared" si="97"/>
        <v>0.42894466746586368</v>
      </c>
      <c r="AE383" s="6" t="s">
        <v>3</v>
      </c>
      <c r="AF383" s="6" t="s">
        <v>3</v>
      </c>
      <c r="AG383" s="6" t="s">
        <v>3</v>
      </c>
      <c r="AH383" s="6" t="s">
        <v>3</v>
      </c>
      <c r="AI383" s="6" t="s">
        <v>3</v>
      </c>
      <c r="AJ383" s="6" t="s">
        <v>3</v>
      </c>
      <c r="AK383" s="5">
        <f t="shared" si="98"/>
        <v>729.46543033117814</v>
      </c>
      <c r="AL383" s="7">
        <f t="shared" si="99"/>
        <v>-0.19902162145831603</v>
      </c>
      <c r="AM383" s="7">
        <f t="shared" si="100"/>
        <v>0.67960266380011025</v>
      </c>
    </row>
    <row r="384" spans="10:39" x14ac:dyDescent="0.25">
      <c r="J384" s="3">
        <v>378</v>
      </c>
      <c r="K384" s="7">
        <v>0.45567446963747282</v>
      </c>
      <c r="L384" s="7">
        <f t="shared" si="90"/>
        <v>0.25742995312812866</v>
      </c>
      <c r="M384" s="7">
        <f t="shared" ca="1" si="85"/>
        <v>0.53589625548244346</v>
      </c>
      <c r="N384" s="7">
        <f t="shared" si="86"/>
        <v>0.45567446963747282</v>
      </c>
      <c r="O384" s="7">
        <v>0.20861149363208856</v>
      </c>
      <c r="P384" s="7">
        <f t="shared" si="87"/>
        <v>0.2507549729424956</v>
      </c>
      <c r="Q384" s="7">
        <f t="shared" si="91"/>
        <v>4.2143479310407045E-2</v>
      </c>
      <c r="R384" s="7">
        <f t="shared" si="88"/>
        <v>-0.19894011110468579</v>
      </c>
      <c r="S384" s="7">
        <f t="shared" si="92"/>
        <v>-3.2604128378941943E-2</v>
      </c>
      <c r="T384" s="7">
        <f t="shared" si="93"/>
        <v>1</v>
      </c>
      <c r="U384" s="7">
        <f t="shared" si="89"/>
        <v>0.67979226029351092</v>
      </c>
      <c r="V384" s="7">
        <f t="shared" si="94"/>
        <v>4.476217283283513E-2</v>
      </c>
      <c r="W384" s="7">
        <f t="shared" si="95"/>
        <v>0</v>
      </c>
      <c r="X384" s="8" t="s">
        <v>3</v>
      </c>
      <c r="Y384" s="7">
        <v>0.45567446963747282</v>
      </c>
      <c r="Z384" s="7">
        <v>0.2507549729424956</v>
      </c>
      <c r="AC384" s="7">
        <f t="shared" si="96"/>
        <v>0.44969508404718139</v>
      </c>
      <c r="AD384" s="7">
        <f t="shared" si="97"/>
        <v>0.42903728735101532</v>
      </c>
      <c r="AE384" s="6" t="s">
        <v>3</v>
      </c>
      <c r="AF384" s="6" t="s">
        <v>3</v>
      </c>
      <c r="AG384" s="6" t="s">
        <v>3</v>
      </c>
      <c r="AH384" s="6" t="s">
        <v>3</v>
      </c>
      <c r="AI384" s="6" t="s">
        <v>3</v>
      </c>
      <c r="AJ384" s="6" t="s">
        <v>3</v>
      </c>
      <c r="AK384" s="5">
        <f t="shared" si="98"/>
        <v>729.49647946458504</v>
      </c>
      <c r="AL384" s="7">
        <f t="shared" si="99"/>
        <v>-0.19894011110468579</v>
      </c>
      <c r="AM384" s="7">
        <f t="shared" si="100"/>
        <v>0.67979226029351092</v>
      </c>
    </row>
    <row r="385" spans="10:39" x14ac:dyDescent="0.25">
      <c r="J385" s="3">
        <v>379</v>
      </c>
      <c r="K385" s="7">
        <v>0.46507024000040031</v>
      </c>
      <c r="L385" s="7">
        <f t="shared" si="90"/>
        <v>0.27070634308566166</v>
      </c>
      <c r="M385" s="7">
        <f t="shared" ca="1" si="85"/>
        <v>0.45346778985872216</v>
      </c>
      <c r="N385" s="7">
        <f t="shared" si="86"/>
        <v>0.46507024000040031</v>
      </c>
      <c r="O385" s="7">
        <v>0.35098408345633603</v>
      </c>
      <c r="P385" s="7">
        <f t="shared" si="87"/>
        <v>0.26565227200541042</v>
      </c>
      <c r="Q385" s="7">
        <f t="shared" si="91"/>
        <v>-8.533181145092561E-2</v>
      </c>
      <c r="R385" s="7">
        <f t="shared" si="88"/>
        <v>-0.18599619102175335</v>
      </c>
      <c r="S385" s="7">
        <f t="shared" si="92"/>
        <v>-4.2958421958247152E-2</v>
      </c>
      <c r="T385" s="7">
        <f t="shared" si="93"/>
        <v>1</v>
      </c>
      <c r="U385" s="7">
        <f t="shared" si="89"/>
        <v>0.70894057865662563</v>
      </c>
      <c r="V385" s="7">
        <f t="shared" si="94"/>
        <v>3.4005867044027513E-2</v>
      </c>
      <c r="W385" s="7">
        <f t="shared" si="95"/>
        <v>0</v>
      </c>
      <c r="X385" s="8" t="s">
        <v>3</v>
      </c>
      <c r="Y385" s="7">
        <v>0.46507024000040031</v>
      </c>
      <c r="Z385" s="7">
        <v>0.26565227200541042</v>
      </c>
      <c r="AC385" s="7">
        <f t="shared" si="96"/>
        <v>0.45164846302716377</v>
      </c>
      <c r="AD385" s="7">
        <f t="shared" si="97"/>
        <v>0.44328830665121521</v>
      </c>
      <c r="AE385" s="6" t="s">
        <v>3</v>
      </c>
      <c r="AF385" s="6" t="s">
        <v>3</v>
      </c>
      <c r="AG385" s="6" t="s">
        <v>3</v>
      </c>
      <c r="AH385" s="6" t="s">
        <v>3</v>
      </c>
      <c r="AI385" s="6" t="s">
        <v>3</v>
      </c>
      <c r="AJ385" s="6" t="s">
        <v>3</v>
      </c>
      <c r="AK385" s="5">
        <f t="shared" si="98"/>
        <v>734.21904312758488</v>
      </c>
      <c r="AL385" s="7">
        <f t="shared" si="99"/>
        <v>-0.18599619102175335</v>
      </c>
      <c r="AM385" s="7">
        <f t="shared" si="100"/>
        <v>0.70894057865662563</v>
      </c>
    </row>
    <row r="386" spans="10:39" x14ac:dyDescent="0.25">
      <c r="J386" s="3">
        <v>380</v>
      </c>
      <c r="K386" s="7">
        <v>0.46822930485197833</v>
      </c>
      <c r="L386" s="7">
        <f t="shared" si="90"/>
        <v>0.2751774219913572</v>
      </c>
      <c r="M386" s="7">
        <f t="shared" ca="1" si="85"/>
        <v>0.37179199806648122</v>
      </c>
      <c r="N386" s="7">
        <f t="shared" si="86"/>
        <v>0.46822930485197833</v>
      </c>
      <c r="O386" s="7">
        <v>0.14323805612074469</v>
      </c>
      <c r="P386" s="7">
        <f t="shared" si="87"/>
        <v>0.27071996367392526</v>
      </c>
      <c r="Q386" s="7">
        <f t="shared" si="91"/>
        <v>0.12748190755318056</v>
      </c>
      <c r="R386" s="7">
        <f t="shared" si="88"/>
        <v>-0.18139814801151211</v>
      </c>
      <c r="S386" s="7">
        <f t="shared" si="92"/>
        <v>-2.5970896330580546E-2</v>
      </c>
      <c r="T386" s="7">
        <f t="shared" si="93"/>
        <v>1</v>
      </c>
      <c r="U386" s="7">
        <f t="shared" si="89"/>
        <v>0.71885720012970045</v>
      </c>
      <c r="V386" s="7">
        <f t="shared" si="94"/>
        <v>5.4683818680850795E-2</v>
      </c>
      <c r="W386" s="7">
        <f t="shared" si="95"/>
        <v>0</v>
      </c>
      <c r="X386" s="8" t="s">
        <v>3</v>
      </c>
      <c r="Y386" s="7">
        <v>0.46822930485197833</v>
      </c>
      <c r="Z386" s="7">
        <v>0.27071996367392526</v>
      </c>
      <c r="AC386" s="7">
        <f t="shared" si="96"/>
        <v>0.45211811168543736</v>
      </c>
      <c r="AD386" s="7">
        <f t="shared" si="97"/>
        <v>0.44813723645577519</v>
      </c>
      <c r="AE386" s="6" t="s">
        <v>3</v>
      </c>
      <c r="AF386" s="6" t="s">
        <v>3</v>
      </c>
      <c r="AG386" s="6" t="s">
        <v>3</v>
      </c>
      <c r="AH386" s="6" t="s">
        <v>3</v>
      </c>
      <c r="AI386" s="6" t="s">
        <v>3</v>
      </c>
      <c r="AJ386" s="6" t="s">
        <v>3</v>
      </c>
      <c r="AK386" s="5">
        <f t="shared" si="98"/>
        <v>735.80687300218324</v>
      </c>
      <c r="AL386" s="7">
        <f t="shared" si="99"/>
        <v>-0.18139814801151211</v>
      </c>
      <c r="AM386" s="7">
        <f t="shared" si="100"/>
        <v>0.71885720012970045</v>
      </c>
    </row>
    <row r="387" spans="10:39" x14ac:dyDescent="0.25">
      <c r="J387" s="3">
        <v>381</v>
      </c>
      <c r="K387" s="7">
        <v>0.47311977283555651</v>
      </c>
      <c r="L387" s="7">
        <f t="shared" si="90"/>
        <v>0.28209946724269508</v>
      </c>
      <c r="M387" s="7">
        <f t="shared" ca="1" si="85"/>
        <v>0.15354396133872036</v>
      </c>
      <c r="N387" s="7">
        <f t="shared" si="86"/>
        <v>0.47311977283555651</v>
      </c>
      <c r="O387" s="7">
        <v>0.27145089272827061</v>
      </c>
      <c r="P387" s="7">
        <f t="shared" si="87"/>
        <v>0.27861370931473317</v>
      </c>
      <c r="Q387" s="7">
        <f t="shared" si="91"/>
        <v>7.1628165864625615E-3</v>
      </c>
      <c r="R387" s="7">
        <f t="shared" si="88"/>
        <v>-0.17403411599080965</v>
      </c>
      <c r="S387" s="7">
        <f t="shared" si="92"/>
        <v>-3.5638800697526424E-2</v>
      </c>
      <c r="T387" s="7">
        <f t="shared" si="93"/>
        <v>1</v>
      </c>
      <c r="U387" s="7">
        <f t="shared" si="89"/>
        <v>0.7342919188193513</v>
      </c>
      <c r="V387" s="7">
        <f t="shared" si="94"/>
        <v>4.3969897478652667E-2</v>
      </c>
      <c r="W387" s="7">
        <f t="shared" si="95"/>
        <v>0</v>
      </c>
      <c r="X387" s="8" t="s">
        <v>3</v>
      </c>
      <c r="Y387" s="7">
        <v>0.47311977283555651</v>
      </c>
      <c r="Z387" s="7">
        <v>0.27861370931473317</v>
      </c>
      <c r="AC387" s="7">
        <f t="shared" si="96"/>
        <v>0.45264782530554282</v>
      </c>
      <c r="AD387" s="7">
        <f t="shared" si="97"/>
        <v>0.45567820950461813</v>
      </c>
      <c r="AE387" s="6" t="s">
        <v>3</v>
      </c>
      <c r="AF387" s="6" t="s">
        <v>3</v>
      </c>
      <c r="AG387" s="6" t="s">
        <v>3</v>
      </c>
      <c r="AH387" s="6" t="s">
        <v>3</v>
      </c>
      <c r="AI387" s="6" t="s">
        <v>3</v>
      </c>
      <c r="AJ387" s="6" t="s">
        <v>3</v>
      </c>
      <c r="AK387" s="5">
        <f t="shared" si="98"/>
        <v>738.26495206352752</v>
      </c>
      <c r="AL387" s="7">
        <f t="shared" si="99"/>
        <v>-0.17403411599080965</v>
      </c>
      <c r="AM387" s="7">
        <f t="shared" si="100"/>
        <v>0.7342919188193513</v>
      </c>
    </row>
    <row r="388" spans="10:39" x14ac:dyDescent="0.25">
      <c r="J388" s="3">
        <v>382</v>
      </c>
      <c r="K388" s="7">
        <v>0.47404182169053422</v>
      </c>
      <c r="L388" s="7">
        <f t="shared" si="90"/>
        <v>0.28340413427256034</v>
      </c>
      <c r="M388" s="7">
        <f t="shared" ca="1" si="85"/>
        <v>0.2026342405258105</v>
      </c>
      <c r="N388" s="7">
        <f t="shared" si="86"/>
        <v>0.47404182169053422</v>
      </c>
      <c r="O388" s="7">
        <v>0.3829235303496088</v>
      </c>
      <c r="P388" s="7">
        <f t="shared" si="87"/>
        <v>0.28010788018606902</v>
      </c>
      <c r="Q388" s="7">
        <f t="shared" si="91"/>
        <v>-0.10281565016353977</v>
      </c>
      <c r="R388" s="7">
        <f t="shared" si="88"/>
        <v>-0.17261220402451283</v>
      </c>
      <c r="S388" s="7">
        <f t="shared" si="92"/>
        <v>-4.4442858749929731E-2</v>
      </c>
      <c r="T388" s="7">
        <f t="shared" si="93"/>
        <v>1</v>
      </c>
      <c r="U388" s="7">
        <f t="shared" si="89"/>
        <v>0.73721090181682825</v>
      </c>
      <c r="V388" s="7">
        <f t="shared" si="94"/>
        <v>3.365730028938585E-2</v>
      </c>
      <c r="W388" s="7">
        <f t="shared" si="95"/>
        <v>0</v>
      </c>
      <c r="X388" s="8" t="s">
        <v>3</v>
      </c>
      <c r="Y388" s="7">
        <v>0.47404182169053422</v>
      </c>
      <c r="Z388" s="7">
        <v>0.28010788018606902</v>
      </c>
      <c r="AC388" s="7">
        <f t="shared" si="96"/>
        <v>0.45272008421058185</v>
      </c>
      <c r="AD388" s="7">
        <f t="shared" si="97"/>
        <v>0.45710302163075922</v>
      </c>
      <c r="AE388" s="6" t="s">
        <v>3</v>
      </c>
      <c r="AF388" s="6" t="s">
        <v>3</v>
      </c>
      <c r="AG388" s="6" t="s">
        <v>3</v>
      </c>
      <c r="AH388" s="6" t="s">
        <v>3</v>
      </c>
      <c r="AI388" s="6" t="s">
        <v>3</v>
      </c>
      <c r="AJ388" s="6" t="s">
        <v>3</v>
      </c>
      <c r="AK388" s="5">
        <f t="shared" si="98"/>
        <v>738.72839830048633</v>
      </c>
      <c r="AL388" s="7">
        <f t="shared" si="99"/>
        <v>-0.17261220402451283</v>
      </c>
      <c r="AM388" s="7">
        <f t="shared" si="100"/>
        <v>0.73721090181682825</v>
      </c>
    </row>
    <row r="389" spans="10:39" x14ac:dyDescent="0.25">
      <c r="J389" s="3">
        <v>383</v>
      </c>
      <c r="K389" s="7">
        <v>0.48053601252526157</v>
      </c>
      <c r="L389" s="7">
        <f t="shared" si="90"/>
        <v>0.29258342716580199</v>
      </c>
      <c r="M389" s="7">
        <f t="shared" ca="1" si="85"/>
        <v>-0.21698439971735478</v>
      </c>
      <c r="N389" s="7">
        <f t="shared" si="86"/>
        <v>0.48053601252526157</v>
      </c>
      <c r="O389" s="7">
        <v>0.10264844130389911</v>
      </c>
      <c r="P389" s="7">
        <f t="shared" si="87"/>
        <v>0.29067513745746876</v>
      </c>
      <c r="Q389" s="7">
        <f t="shared" si="91"/>
        <v>0.18802669615356965</v>
      </c>
      <c r="R389" s="7">
        <f t="shared" si="88"/>
        <v>-0.16229734854929134</v>
      </c>
      <c r="S389" s="7">
        <f t="shared" si="92"/>
        <v>-2.1195663188255238E-2</v>
      </c>
      <c r="T389" s="7">
        <f t="shared" si="93"/>
        <v>1</v>
      </c>
      <c r="U389" s="7">
        <f t="shared" si="89"/>
        <v>0.75781958284957374</v>
      </c>
      <c r="V389" s="7">
        <f t="shared" si="94"/>
        <v>6.2241258446839094E-2</v>
      </c>
      <c r="W389" s="7">
        <f t="shared" si="95"/>
        <v>0</v>
      </c>
      <c r="X389" s="8" t="s">
        <v>3</v>
      </c>
      <c r="Y389" s="7">
        <v>0.48053601252526157</v>
      </c>
      <c r="Z389" s="7">
        <v>0.29067513745746876</v>
      </c>
      <c r="AC389" s="7">
        <f t="shared" si="96"/>
        <v>0.4529724860067601</v>
      </c>
      <c r="AD389" s="7">
        <f t="shared" si="97"/>
        <v>0.46714444539210498</v>
      </c>
      <c r="AE389" s="6" t="s">
        <v>3</v>
      </c>
      <c r="AF389" s="6" t="s">
        <v>3</v>
      </c>
      <c r="AG389" s="6" t="s">
        <v>3</v>
      </c>
      <c r="AH389" s="6" t="s">
        <v>3</v>
      </c>
      <c r="AI389" s="6" t="s">
        <v>3</v>
      </c>
      <c r="AJ389" s="6" t="s">
        <v>3</v>
      </c>
      <c r="AK389" s="5">
        <f t="shared" si="98"/>
        <v>741.99255104922531</v>
      </c>
      <c r="AL389" s="7">
        <f t="shared" si="99"/>
        <v>-0.16229734854929134</v>
      </c>
      <c r="AM389" s="7">
        <f t="shared" si="100"/>
        <v>0.75781958284957374</v>
      </c>
    </row>
    <row r="390" spans="10:39" x14ac:dyDescent="0.25">
      <c r="J390" s="3">
        <v>384</v>
      </c>
      <c r="K390" s="7">
        <v>0.48247508429068553</v>
      </c>
      <c r="L390" s="7">
        <f t="shared" si="90"/>
        <v>0.29531933888129225</v>
      </c>
      <c r="M390" s="7">
        <f t="shared" ca="1" si="85"/>
        <v>0.24824595938337396</v>
      </c>
      <c r="N390" s="7">
        <f t="shared" si="86"/>
        <v>0.48247508429068553</v>
      </c>
      <c r="O390" s="7">
        <v>-0.20126316988101717</v>
      </c>
      <c r="P390" s="7">
        <f t="shared" si="87"/>
        <v>0.2938426184458689</v>
      </c>
      <c r="Q390" s="7">
        <f t="shared" si="91"/>
        <v>0.49510578832688606</v>
      </c>
      <c r="R390" s="7">
        <f t="shared" si="88"/>
        <v>-0.15911618435273223</v>
      </c>
      <c r="S390" s="7">
        <f t="shared" si="92"/>
        <v>3.8775226686022145E-2</v>
      </c>
      <c r="T390" s="7">
        <f t="shared" si="93"/>
        <v>0</v>
      </c>
      <c r="U390" s="7">
        <f t="shared" si="89"/>
        <v>0.76398177170371473</v>
      </c>
      <c r="V390" s="7">
        <f t="shared" si="94"/>
        <v>9.1698269450549541E-2</v>
      </c>
      <c r="W390" s="7">
        <f t="shared" si="95"/>
        <v>0</v>
      </c>
      <c r="X390" s="8" t="s">
        <v>3</v>
      </c>
      <c r="Y390" s="7">
        <v>0.48247508429068553</v>
      </c>
      <c r="Z390" s="7">
        <v>0.2938426184458689</v>
      </c>
      <c r="AC390" s="7">
        <f t="shared" si="96"/>
        <v>0.45295880279860112</v>
      </c>
      <c r="AD390" s="7">
        <f t="shared" si="97"/>
        <v>0.47013915325784583</v>
      </c>
      <c r="AE390" s="6" t="s">
        <v>3</v>
      </c>
      <c r="AF390" s="6" t="s">
        <v>3</v>
      </c>
      <c r="AG390" s="6" t="s">
        <v>3</v>
      </c>
      <c r="AH390" s="6" t="s">
        <v>3</v>
      </c>
      <c r="AI390" s="6" t="s">
        <v>3</v>
      </c>
      <c r="AJ390" s="6" t="s">
        <v>3</v>
      </c>
      <c r="AK390" s="5">
        <f t="shared" si="98"/>
        <v>742.96718000519388</v>
      </c>
      <c r="AL390" s="7">
        <f t="shared" si="99"/>
        <v>-0.15911618435273223</v>
      </c>
      <c r="AM390" s="7">
        <f t="shared" si="100"/>
        <v>0.76398177170371473</v>
      </c>
    </row>
    <row r="391" spans="10:39" x14ac:dyDescent="0.25">
      <c r="J391" s="3">
        <v>385</v>
      </c>
      <c r="K391" s="7">
        <v>0.4875916666747655</v>
      </c>
      <c r="L391" s="7">
        <f t="shared" si="90"/>
        <v>0.30252260325740998</v>
      </c>
      <c r="M391" s="7">
        <f t="shared" ref="M391:M454" ca="1" si="101">L391+0.9*_xlfn.NORM.INV(RAND(),0,0.1)+0.1*_xlfn.NORM.INV(RAND(),0,2)</f>
        <v>0.70296181375881583</v>
      </c>
      <c r="N391" s="7">
        <f t="shared" ref="N391:N454" si="102">K391</f>
        <v>0.4875916666747655</v>
      </c>
      <c r="O391" s="7">
        <v>0.7434791218209682</v>
      </c>
      <c r="P391" s="7">
        <f t="shared" ref="P391:P454" si="103">AG$8+AG$9*TANH(AG$10+AG$11*TANH(AG$12+AG$13*N391)+AG$14*TANH(AG$15+AG$16*N391)+AG$17*TANH(AG$18+AG$19*N391)+AG$20*TANH(AG$21+AG$22*N391))+AG$23*TANH(AG$24+AG$25*N391)</f>
        <v>0.30221929157490957</v>
      </c>
      <c r="Q391" s="7">
        <f t="shared" si="91"/>
        <v>-0.44125983024605864</v>
      </c>
      <c r="R391" s="7">
        <f t="shared" ref="R391:R454" si="104">AH$8+AH$9*TANH(AH$10+AH$11*TANH(AH$12+AH$13*$N391)+AH$14*TANH(AH$15+AH$16*$N391)+AH$17*TANH(AH$18+AH$19*$N391)+AH$20*TANH(AH$21+AH$22*$N391))+AH$23*TANH(AH$24+AH$25*$N391)</f>
        <v>-0.15050139923110617</v>
      </c>
      <c r="S391" s="7">
        <f t="shared" si="92"/>
        <v>-7.1518441684165948E-2</v>
      </c>
      <c r="T391" s="7">
        <f t="shared" si="93"/>
        <v>1</v>
      </c>
      <c r="U391" s="7">
        <f t="shared" ref="U391:U454" si="105">AI$8+AI$9*TANH(AI$10+AI$11*TANH(AI$12+AI$13*$N391)+AI$14*TANH(AI$15+AI$16*$N391)+AI$17*TANH(AI$18+AI$19*$N391)+AI$20*TANH(AI$21+AI$22*$N391))+AI$23*TANH(AI$24+AI$25*$N391)</f>
        <v>0.78023437618952696</v>
      </c>
      <c r="V391" s="7">
        <f t="shared" si="94"/>
        <v>3.4917491650130815E-3</v>
      </c>
      <c r="W391" s="7">
        <f t="shared" si="95"/>
        <v>0</v>
      </c>
      <c r="X391" s="8" t="s">
        <v>3</v>
      </c>
      <c r="Y391" s="7">
        <v>0.4875916666747655</v>
      </c>
      <c r="Z391" s="7">
        <v>0.30221929157490957</v>
      </c>
      <c r="AC391" s="7">
        <f t="shared" si="96"/>
        <v>0.45272069080601574</v>
      </c>
      <c r="AD391" s="7">
        <f t="shared" si="97"/>
        <v>0.47801508461461739</v>
      </c>
      <c r="AE391" s="6" t="s">
        <v>3</v>
      </c>
      <c r="AF391" s="6" t="s">
        <v>3</v>
      </c>
      <c r="AG391" s="6" t="s">
        <v>3</v>
      </c>
      <c r="AH391" s="6" t="s">
        <v>3</v>
      </c>
      <c r="AI391" s="6" t="s">
        <v>3</v>
      </c>
      <c r="AJ391" s="6" t="s">
        <v>3</v>
      </c>
      <c r="AK391" s="5">
        <f t="shared" si="98"/>
        <v>745.53891016807029</v>
      </c>
      <c r="AL391" s="7">
        <f t="shared" si="99"/>
        <v>-0.15050139923110617</v>
      </c>
      <c r="AM391" s="7">
        <f t="shared" si="100"/>
        <v>0.78023437618952696</v>
      </c>
    </row>
    <row r="392" spans="10:39" x14ac:dyDescent="0.25">
      <c r="J392" s="3">
        <v>386</v>
      </c>
      <c r="K392" s="7">
        <v>0.48866140858753004</v>
      </c>
      <c r="L392" s="7">
        <f t="shared" ref="L392:L455" si="106">15*(K392^2-1)^2*K392^4*EXP(-1*K392)</f>
        <v>0.30402512626541767</v>
      </c>
      <c r="M392" s="7">
        <f t="shared" ca="1" si="101"/>
        <v>0.2114692243927469</v>
      </c>
      <c r="N392" s="7">
        <f t="shared" si="102"/>
        <v>0.48866140858753004</v>
      </c>
      <c r="O392" s="7">
        <v>9.0784527613553712E-2</v>
      </c>
      <c r="P392" s="7">
        <f t="shared" si="103"/>
        <v>0.30397311680058747</v>
      </c>
      <c r="Q392" s="7">
        <f t="shared" ref="Q392:Q455" si="107">P392-O392</f>
        <v>0.21318858918703376</v>
      </c>
      <c r="R392" s="7">
        <f t="shared" si="104"/>
        <v>-0.14866026045103187</v>
      </c>
      <c r="S392" s="7">
        <f t="shared" ref="S392:S455" si="108">IF(R392-O392&gt;0,1-$S$5,$S$5)*(R392-O392)</f>
        <v>-1.9155583045166846E-2</v>
      </c>
      <c r="T392" s="7">
        <f t="shared" ref="T392:T455" si="109">IF(R392&lt;O392,1,0)</f>
        <v>1</v>
      </c>
      <c r="U392" s="7">
        <f t="shared" si="105"/>
        <v>0.78362799815155237</v>
      </c>
      <c r="V392" s="7">
        <f t="shared" ref="V392:V455" si="110">IF(U392-O392&lt;0,1-$V$5,$V$5)*(U392-O392)</f>
        <v>6.582012970110987E-2</v>
      </c>
      <c r="W392" s="7">
        <f t="shared" ref="W392:W455" si="111">IF(U392&lt;O392,1,0)</f>
        <v>0</v>
      </c>
      <c r="X392" s="8" t="s">
        <v>3</v>
      </c>
      <c r="Y392" s="7">
        <v>0.48866140858753004</v>
      </c>
      <c r="Z392" s="7">
        <v>0.30397311680058747</v>
      </c>
      <c r="AC392" s="7">
        <f t="shared" ref="AC392:AC455" si="112">P392-R392</f>
        <v>0.45263337725161934</v>
      </c>
      <c r="AD392" s="7">
        <f t="shared" ref="AD392:AD455" si="113">U392-P392</f>
        <v>0.4796548813509649</v>
      </c>
      <c r="AE392" s="6" t="s">
        <v>3</v>
      </c>
      <c r="AF392" s="6" t="s">
        <v>3</v>
      </c>
      <c r="AG392" s="6" t="s">
        <v>3</v>
      </c>
      <c r="AH392" s="6" t="s">
        <v>3</v>
      </c>
      <c r="AI392" s="6" t="s">
        <v>3</v>
      </c>
      <c r="AJ392" s="6" t="s">
        <v>3</v>
      </c>
      <c r="AK392" s="5">
        <f t="shared" ref="AK392:AK455" si="114">1000*(N392-MIN(N$7:N$507))/(MAX(N$7:N$507)-MIN(N$7:N$507))</f>
        <v>746.07659085745183</v>
      </c>
      <c r="AL392" s="7">
        <f t="shared" ref="AL392:AL455" si="115">R392</f>
        <v>-0.14866026045103187</v>
      </c>
      <c r="AM392" s="7">
        <f t="shared" ref="AM392:AM455" si="116">U392-0*R392</f>
        <v>0.78362799815155237</v>
      </c>
    </row>
    <row r="393" spans="10:39" x14ac:dyDescent="0.25">
      <c r="J393" s="3">
        <v>387</v>
      </c>
      <c r="K393" s="7">
        <v>0.49447450722193631</v>
      </c>
      <c r="L393" s="7">
        <f t="shared" si="106"/>
        <v>0.31216375725341194</v>
      </c>
      <c r="M393" s="7">
        <f t="shared" ca="1" si="101"/>
        <v>0.20261805106727693</v>
      </c>
      <c r="N393" s="7">
        <f t="shared" si="102"/>
        <v>0.49447450722193631</v>
      </c>
      <c r="O393" s="7">
        <v>0.45932767333080515</v>
      </c>
      <c r="P393" s="7">
        <f t="shared" si="103"/>
        <v>0.3135099219314128</v>
      </c>
      <c r="Q393" s="7">
        <f t="shared" si="107"/>
        <v>-0.14581775139939235</v>
      </c>
      <c r="R393" s="7">
        <f t="shared" si="104"/>
        <v>-0.13841851107477243</v>
      </c>
      <c r="S393" s="7">
        <f t="shared" si="108"/>
        <v>-4.7819694752446205E-2</v>
      </c>
      <c r="T393" s="7">
        <f t="shared" si="109"/>
        <v>1</v>
      </c>
      <c r="U393" s="7">
        <f t="shared" si="105"/>
        <v>0.80201552661277087</v>
      </c>
      <c r="V393" s="7">
        <f t="shared" si="110"/>
        <v>3.2555346061786741E-2</v>
      </c>
      <c r="W393" s="7">
        <f t="shared" si="111"/>
        <v>0</v>
      </c>
      <c r="X393" s="8" t="s">
        <v>3</v>
      </c>
      <c r="Y393" s="7">
        <v>0.49447450722193631</v>
      </c>
      <c r="Z393" s="7">
        <v>0.3135099219314128</v>
      </c>
      <c r="AC393" s="7">
        <f t="shared" si="112"/>
        <v>0.45192843300618524</v>
      </c>
      <c r="AD393" s="7">
        <f t="shared" si="113"/>
        <v>0.48850560468135806</v>
      </c>
      <c r="AE393" s="6" t="s">
        <v>3</v>
      </c>
      <c r="AF393" s="6" t="s">
        <v>3</v>
      </c>
      <c r="AG393" s="6" t="s">
        <v>3</v>
      </c>
      <c r="AH393" s="6" t="s">
        <v>3</v>
      </c>
      <c r="AI393" s="6" t="s">
        <v>3</v>
      </c>
      <c r="AJ393" s="6" t="s">
        <v>3</v>
      </c>
      <c r="AK393" s="5">
        <f t="shared" si="114"/>
        <v>748.99840858179732</v>
      </c>
      <c r="AL393" s="7">
        <f t="shared" si="115"/>
        <v>-0.13841851107477243</v>
      </c>
      <c r="AM393" s="7">
        <f t="shared" si="116"/>
        <v>0.80201552661277087</v>
      </c>
    </row>
    <row r="394" spans="10:39" x14ac:dyDescent="0.25">
      <c r="J394" s="3">
        <v>388</v>
      </c>
      <c r="K394" s="7">
        <v>0.49819408964484246</v>
      </c>
      <c r="L394" s="7">
        <f t="shared" si="106"/>
        <v>0.31734400772678611</v>
      </c>
      <c r="M394" s="7">
        <f t="shared" ca="1" si="101"/>
        <v>0.11528322763721369</v>
      </c>
      <c r="N394" s="7">
        <f t="shared" si="102"/>
        <v>0.49819408964484246</v>
      </c>
      <c r="O394" s="7">
        <v>0.63062843760755993</v>
      </c>
      <c r="P394" s="7">
        <f t="shared" si="103"/>
        <v>0.31961073804962981</v>
      </c>
      <c r="Q394" s="7">
        <f t="shared" si="107"/>
        <v>-0.31101769955793013</v>
      </c>
      <c r="R394" s="7">
        <f t="shared" si="104"/>
        <v>-0.13166044798003185</v>
      </c>
      <c r="S394" s="7">
        <f t="shared" si="108"/>
        <v>-6.0983110847007346E-2</v>
      </c>
      <c r="T394" s="7">
        <f t="shared" si="109"/>
        <v>1</v>
      </c>
      <c r="U394" s="7">
        <f t="shared" si="105"/>
        <v>0.81371148222642264</v>
      </c>
      <c r="V394" s="7">
        <f t="shared" si="110"/>
        <v>1.7392889238791957E-2</v>
      </c>
      <c r="W394" s="7">
        <f t="shared" si="111"/>
        <v>0</v>
      </c>
      <c r="X394" s="8" t="s">
        <v>3</v>
      </c>
      <c r="Y394" s="7">
        <v>0.49819408964484246</v>
      </c>
      <c r="Z394" s="7">
        <v>0.31961073804962981</v>
      </c>
      <c r="AC394" s="7">
        <f t="shared" si="112"/>
        <v>0.45127118602966165</v>
      </c>
      <c r="AD394" s="7">
        <f t="shared" si="113"/>
        <v>0.49410074417679284</v>
      </c>
      <c r="AE394" s="6" t="s">
        <v>3</v>
      </c>
      <c r="AF394" s="6" t="s">
        <v>3</v>
      </c>
      <c r="AG394" s="6" t="s">
        <v>3</v>
      </c>
      <c r="AH394" s="6" t="s">
        <v>3</v>
      </c>
      <c r="AI394" s="6" t="s">
        <v>3</v>
      </c>
      <c r="AJ394" s="6" t="s">
        <v>3</v>
      </c>
      <c r="AK394" s="5">
        <f t="shared" si="114"/>
        <v>750.86796947073299</v>
      </c>
      <c r="AL394" s="7">
        <f t="shared" si="115"/>
        <v>-0.13166044798003185</v>
      </c>
      <c r="AM394" s="7">
        <f t="shared" si="116"/>
        <v>0.81371148222642264</v>
      </c>
    </row>
    <row r="395" spans="10:39" x14ac:dyDescent="0.25">
      <c r="J395" s="3">
        <v>389</v>
      </c>
      <c r="K395" s="7">
        <v>0.50096197711386048</v>
      </c>
      <c r="L395" s="7">
        <f t="shared" si="106"/>
        <v>0.32118255519478012</v>
      </c>
      <c r="M395" s="7">
        <f t="shared" ca="1" si="101"/>
        <v>0.15582401347532876</v>
      </c>
      <c r="N395" s="7">
        <f t="shared" si="102"/>
        <v>0.50096197711386048</v>
      </c>
      <c r="O395" s="7">
        <v>0.74808788255712821</v>
      </c>
      <c r="P395" s="7">
        <f t="shared" si="103"/>
        <v>0.32414564376598642</v>
      </c>
      <c r="Q395" s="7">
        <f t="shared" si="107"/>
        <v>-0.42394223879114179</v>
      </c>
      <c r="R395" s="7">
        <f t="shared" si="104"/>
        <v>-0.12653136756187244</v>
      </c>
      <c r="S395" s="7">
        <f t="shared" si="108"/>
        <v>-6.9969540009520048E-2</v>
      </c>
      <c r="T395" s="7">
        <f t="shared" si="109"/>
        <v>1</v>
      </c>
      <c r="U395" s="7">
        <f t="shared" si="105"/>
        <v>0.82236668585164741</v>
      </c>
      <c r="V395" s="7">
        <f t="shared" si="110"/>
        <v>7.0564863129793228E-3</v>
      </c>
      <c r="W395" s="7">
        <f t="shared" si="111"/>
        <v>0</v>
      </c>
      <c r="X395" s="8" t="s">
        <v>3</v>
      </c>
      <c r="Y395" s="7">
        <v>0.50096197711386048</v>
      </c>
      <c r="Z395" s="7">
        <v>0.32414564376598642</v>
      </c>
      <c r="AC395" s="7">
        <f t="shared" si="112"/>
        <v>0.45067701132785887</v>
      </c>
      <c r="AD395" s="7">
        <f t="shared" si="113"/>
        <v>0.49822104208566098</v>
      </c>
      <c r="AE395" s="6" t="s">
        <v>3</v>
      </c>
      <c r="AF395" s="6" t="s">
        <v>3</v>
      </c>
      <c r="AG395" s="6" t="s">
        <v>3</v>
      </c>
      <c r="AH395" s="6" t="s">
        <v>3</v>
      </c>
      <c r="AI395" s="6" t="s">
        <v>3</v>
      </c>
      <c r="AJ395" s="6" t="s">
        <v>3</v>
      </c>
      <c r="AK395" s="5">
        <f t="shared" si="114"/>
        <v>752.25918320622748</v>
      </c>
      <c r="AL395" s="7">
        <f t="shared" si="115"/>
        <v>-0.12653136756187244</v>
      </c>
      <c r="AM395" s="7">
        <f t="shared" si="116"/>
        <v>0.82236668585164741</v>
      </c>
    </row>
    <row r="396" spans="10:39" x14ac:dyDescent="0.25">
      <c r="J396" s="3">
        <v>390</v>
      </c>
      <c r="K396" s="7">
        <v>0.50185715751374427</v>
      </c>
      <c r="L396" s="7">
        <f t="shared" si="106"/>
        <v>0.32242076280835985</v>
      </c>
      <c r="M396" s="7">
        <f t="shared" ca="1" si="101"/>
        <v>0.86337407427372526</v>
      </c>
      <c r="N396" s="7">
        <f t="shared" si="102"/>
        <v>0.50185715751374427</v>
      </c>
      <c r="O396" s="7">
        <v>0.25048361750603854</v>
      </c>
      <c r="P396" s="7">
        <f t="shared" si="103"/>
        <v>0.32561092881120857</v>
      </c>
      <c r="Q396" s="7">
        <f t="shared" si="107"/>
        <v>7.512731130517003E-2</v>
      </c>
      <c r="R396" s="7">
        <f t="shared" si="104"/>
        <v>-0.12485470353431172</v>
      </c>
      <c r="S396" s="7">
        <f t="shared" si="108"/>
        <v>-3.0027065683228021E-2</v>
      </c>
      <c r="T396" s="7">
        <f t="shared" si="109"/>
        <v>1</v>
      </c>
      <c r="U396" s="7">
        <f t="shared" si="105"/>
        <v>0.82515567634164211</v>
      </c>
      <c r="V396" s="7">
        <f t="shared" si="110"/>
        <v>5.4593845589382337E-2</v>
      </c>
      <c r="W396" s="7">
        <f t="shared" si="111"/>
        <v>0</v>
      </c>
      <c r="X396" s="8" t="s">
        <v>3</v>
      </c>
      <c r="Y396" s="7">
        <v>0.50185715751374427</v>
      </c>
      <c r="Z396" s="7">
        <v>0.32561092881120857</v>
      </c>
      <c r="AC396" s="7">
        <f t="shared" si="112"/>
        <v>0.45046563234552028</v>
      </c>
      <c r="AD396" s="7">
        <f t="shared" si="113"/>
        <v>0.49954474753043354</v>
      </c>
      <c r="AE396" s="6" t="s">
        <v>3</v>
      </c>
      <c r="AF396" s="6" t="s">
        <v>3</v>
      </c>
      <c r="AG396" s="6" t="s">
        <v>3</v>
      </c>
      <c r="AH396" s="6" t="s">
        <v>3</v>
      </c>
      <c r="AI396" s="6" t="s">
        <v>3</v>
      </c>
      <c r="AJ396" s="6" t="s">
        <v>3</v>
      </c>
      <c r="AK396" s="5">
        <f t="shared" si="114"/>
        <v>752.70912464423895</v>
      </c>
      <c r="AL396" s="7">
        <f t="shared" si="115"/>
        <v>-0.12485470353431172</v>
      </c>
      <c r="AM396" s="7">
        <f t="shared" si="116"/>
        <v>0.82515567634164211</v>
      </c>
    </row>
    <row r="397" spans="10:39" x14ac:dyDescent="0.25">
      <c r="J397" s="3">
        <v>391</v>
      </c>
      <c r="K397" s="7">
        <v>0.51032928821294377</v>
      </c>
      <c r="L397" s="7">
        <f t="shared" si="106"/>
        <v>0.33405008419393722</v>
      </c>
      <c r="M397" s="7">
        <f t="shared" ca="1" si="101"/>
        <v>0.42773468492584799</v>
      </c>
      <c r="N397" s="7">
        <f t="shared" si="102"/>
        <v>0.51032928821294377</v>
      </c>
      <c r="O397" s="7">
        <v>0.17857710364262253</v>
      </c>
      <c r="P397" s="7">
        <f t="shared" si="103"/>
        <v>0.33942595040742196</v>
      </c>
      <c r="Q397" s="7">
        <f t="shared" si="107"/>
        <v>0.16084884676479944</v>
      </c>
      <c r="R397" s="7">
        <f t="shared" si="104"/>
        <v>-0.10857594338438581</v>
      </c>
      <c r="S397" s="7">
        <f t="shared" si="108"/>
        <v>-2.2972243762160668E-2</v>
      </c>
      <c r="T397" s="7">
        <f t="shared" si="109"/>
        <v>1</v>
      </c>
      <c r="U397" s="7">
        <f t="shared" si="105"/>
        <v>0.85124544361493393</v>
      </c>
      <c r="V397" s="7">
        <f t="shared" si="110"/>
        <v>6.3903492297369593E-2</v>
      </c>
      <c r="W397" s="7">
        <f t="shared" si="111"/>
        <v>0</v>
      </c>
      <c r="X397" s="8" t="s">
        <v>3</v>
      </c>
      <c r="Y397" s="7">
        <v>0.51032928821294377</v>
      </c>
      <c r="Z397" s="7">
        <v>0.33942595040742196</v>
      </c>
      <c r="AC397" s="7">
        <f t="shared" si="112"/>
        <v>0.44800189379180777</v>
      </c>
      <c r="AD397" s="7">
        <f t="shared" si="113"/>
        <v>0.51181949320751197</v>
      </c>
      <c r="AE397" s="6" t="s">
        <v>3</v>
      </c>
      <c r="AF397" s="6" t="s">
        <v>3</v>
      </c>
      <c r="AG397" s="6" t="s">
        <v>3</v>
      </c>
      <c r="AH397" s="6" t="s">
        <v>3</v>
      </c>
      <c r="AI397" s="6" t="s">
        <v>3</v>
      </c>
      <c r="AJ397" s="6" t="s">
        <v>3</v>
      </c>
      <c r="AK397" s="5">
        <f t="shared" si="114"/>
        <v>756.96744248756249</v>
      </c>
      <c r="AL397" s="7">
        <f t="shared" si="115"/>
        <v>-0.10857594338438581</v>
      </c>
      <c r="AM397" s="7">
        <f t="shared" si="116"/>
        <v>0.85124544361493393</v>
      </c>
    </row>
    <row r="398" spans="10:39" x14ac:dyDescent="0.25">
      <c r="J398" s="3">
        <v>392</v>
      </c>
      <c r="K398" s="7">
        <v>0.51922080571354634</v>
      </c>
      <c r="L398" s="7">
        <f t="shared" si="106"/>
        <v>0.34604932369038416</v>
      </c>
      <c r="M398" s="7">
        <f t="shared" ca="1" si="101"/>
        <v>0.46520942419597994</v>
      </c>
      <c r="N398" s="7">
        <f t="shared" si="102"/>
        <v>0.51922080571354634</v>
      </c>
      <c r="O398" s="7">
        <v>0.18357726646568351</v>
      </c>
      <c r="P398" s="7">
        <f t="shared" si="103"/>
        <v>0.35376423352525865</v>
      </c>
      <c r="Q398" s="7">
        <f t="shared" si="107"/>
        <v>0.17018696705957514</v>
      </c>
      <c r="R398" s="7">
        <f t="shared" si="104"/>
        <v>-9.0767001984460194E-2</v>
      </c>
      <c r="S398" s="7">
        <f t="shared" si="108"/>
        <v>-2.1947541476011495E-2</v>
      </c>
      <c r="T398" s="7">
        <f t="shared" si="109"/>
        <v>1</v>
      </c>
      <c r="U398" s="7">
        <f t="shared" si="105"/>
        <v>0.87786237116249688</v>
      </c>
      <c r="V398" s="7">
        <f t="shared" si="110"/>
        <v>6.5957084946197272E-2</v>
      </c>
      <c r="W398" s="7">
        <f t="shared" si="111"/>
        <v>0</v>
      </c>
      <c r="X398" s="8" t="s">
        <v>3</v>
      </c>
      <c r="Y398" s="7">
        <v>0.51922080571354634</v>
      </c>
      <c r="Z398" s="7">
        <v>0.35376423352525865</v>
      </c>
      <c r="AC398" s="7">
        <f t="shared" si="112"/>
        <v>0.44453123550971885</v>
      </c>
      <c r="AD398" s="7">
        <f t="shared" si="113"/>
        <v>0.52409813763723823</v>
      </c>
      <c r="AE398" s="6" t="s">
        <v>3</v>
      </c>
      <c r="AF398" s="6" t="s">
        <v>3</v>
      </c>
      <c r="AG398" s="6" t="s">
        <v>3</v>
      </c>
      <c r="AH398" s="6" t="s">
        <v>3</v>
      </c>
      <c r="AI398" s="6" t="s">
        <v>3</v>
      </c>
      <c r="AJ398" s="6" t="s">
        <v>3</v>
      </c>
      <c r="AK398" s="5">
        <f t="shared" si="114"/>
        <v>761.43655527292333</v>
      </c>
      <c r="AL398" s="7">
        <f t="shared" si="115"/>
        <v>-9.0767001984460194E-2</v>
      </c>
      <c r="AM398" s="7">
        <f t="shared" si="116"/>
        <v>0.87786237116249688</v>
      </c>
    </row>
    <row r="399" spans="10:39" x14ac:dyDescent="0.25">
      <c r="J399" s="3">
        <v>393</v>
      </c>
      <c r="K399" s="7">
        <v>0.52225653490066892</v>
      </c>
      <c r="L399" s="7">
        <f t="shared" si="106"/>
        <v>0.35008932160997985</v>
      </c>
      <c r="M399" s="7">
        <f t="shared" ca="1" si="101"/>
        <v>0.24116961310854762</v>
      </c>
      <c r="N399" s="7">
        <f t="shared" si="102"/>
        <v>0.52225653490066892</v>
      </c>
      <c r="O399" s="7">
        <v>0.15217310353725794</v>
      </c>
      <c r="P399" s="7">
        <f t="shared" si="103"/>
        <v>0.35860631485688321</v>
      </c>
      <c r="Q399" s="7">
        <f t="shared" si="107"/>
        <v>0.20643321131962528</v>
      </c>
      <c r="R399" s="7">
        <f t="shared" si="104"/>
        <v>-8.4539714100961838E-2</v>
      </c>
      <c r="S399" s="7">
        <f t="shared" si="108"/>
        <v>-1.8937025411057583E-2</v>
      </c>
      <c r="T399" s="7">
        <f t="shared" si="109"/>
        <v>1</v>
      </c>
      <c r="U399" s="7">
        <f t="shared" si="105"/>
        <v>0.88672629580846229</v>
      </c>
      <c r="V399" s="7">
        <f t="shared" si="110"/>
        <v>6.9782553265764408E-2</v>
      </c>
      <c r="W399" s="7">
        <f t="shared" si="111"/>
        <v>0</v>
      </c>
      <c r="X399" s="8" t="s">
        <v>3</v>
      </c>
      <c r="Y399" s="7">
        <v>0.52225653490066892</v>
      </c>
      <c r="Z399" s="7">
        <v>0.35860631485688321</v>
      </c>
      <c r="AC399" s="7">
        <f t="shared" si="112"/>
        <v>0.44314602895784505</v>
      </c>
      <c r="AD399" s="7">
        <f t="shared" si="113"/>
        <v>0.52811998095157908</v>
      </c>
      <c r="AE399" s="6" t="s">
        <v>3</v>
      </c>
      <c r="AF399" s="6" t="s">
        <v>3</v>
      </c>
      <c r="AG399" s="6" t="s">
        <v>3</v>
      </c>
      <c r="AH399" s="6" t="s">
        <v>3</v>
      </c>
      <c r="AI399" s="6" t="s">
        <v>3</v>
      </c>
      <c r="AJ399" s="6" t="s">
        <v>3</v>
      </c>
      <c r="AK399" s="5">
        <f t="shared" si="114"/>
        <v>762.96239336773033</v>
      </c>
      <c r="AL399" s="7">
        <f t="shared" si="115"/>
        <v>-8.4539714100961838E-2</v>
      </c>
      <c r="AM399" s="7">
        <f t="shared" si="116"/>
        <v>0.88672629580846229</v>
      </c>
    </row>
    <row r="400" spans="10:39" x14ac:dyDescent="0.25">
      <c r="J400" s="3">
        <v>394</v>
      </c>
      <c r="K400" s="7">
        <v>0.5224245126118312</v>
      </c>
      <c r="L400" s="7">
        <f t="shared" si="106"/>
        <v>0.35031194957687928</v>
      </c>
      <c r="M400" s="7">
        <f t="shared" ca="1" si="101"/>
        <v>0.59961852799494486</v>
      </c>
      <c r="N400" s="7">
        <f t="shared" si="102"/>
        <v>0.5224245126118312</v>
      </c>
      <c r="O400" s="7">
        <v>0.39760932769020324</v>
      </c>
      <c r="P400" s="7">
        <f t="shared" si="103"/>
        <v>0.35887331233513509</v>
      </c>
      <c r="Q400" s="7">
        <f t="shared" si="107"/>
        <v>-3.8736015355068154E-2</v>
      </c>
      <c r="R400" s="7">
        <f t="shared" si="104"/>
        <v>-8.4193182745035955E-2</v>
      </c>
      <c r="S400" s="7">
        <f t="shared" si="108"/>
        <v>-3.8544200834819138E-2</v>
      </c>
      <c r="T400" s="7">
        <f t="shared" si="109"/>
        <v>1</v>
      </c>
      <c r="U400" s="7">
        <f t="shared" si="105"/>
        <v>0.88721305769292491</v>
      </c>
      <c r="V400" s="7">
        <f t="shared" si="110"/>
        <v>4.6512354350258557E-2</v>
      </c>
      <c r="W400" s="7">
        <f t="shared" si="111"/>
        <v>0</v>
      </c>
      <c r="X400" s="8" t="s">
        <v>3</v>
      </c>
      <c r="Y400" s="7">
        <v>0.5224245126118312</v>
      </c>
      <c r="Z400" s="7">
        <v>0.35887331233513509</v>
      </c>
      <c r="AC400" s="7">
        <f t="shared" si="112"/>
        <v>0.44306649508017104</v>
      </c>
      <c r="AD400" s="7">
        <f t="shared" si="113"/>
        <v>0.52833974535778983</v>
      </c>
      <c r="AE400" s="6" t="s">
        <v>3</v>
      </c>
      <c r="AF400" s="6" t="s">
        <v>3</v>
      </c>
      <c r="AG400" s="6" t="s">
        <v>3</v>
      </c>
      <c r="AH400" s="6" t="s">
        <v>3</v>
      </c>
      <c r="AI400" s="6" t="s">
        <v>3</v>
      </c>
      <c r="AJ400" s="6" t="s">
        <v>3</v>
      </c>
      <c r="AK400" s="5">
        <f t="shared" si="114"/>
        <v>763.04682342554213</v>
      </c>
      <c r="AL400" s="7">
        <f t="shared" si="115"/>
        <v>-8.4193182745035955E-2</v>
      </c>
      <c r="AM400" s="7">
        <f t="shared" si="116"/>
        <v>0.88721305769292491</v>
      </c>
    </row>
    <row r="401" spans="10:39" x14ac:dyDescent="0.25">
      <c r="J401" s="3">
        <v>395</v>
      </c>
      <c r="K401" s="7">
        <v>0.52546123823654844</v>
      </c>
      <c r="L401" s="7">
        <f t="shared" si="106"/>
        <v>0.35431930981986004</v>
      </c>
      <c r="M401" s="7">
        <f t="shared" ca="1" si="101"/>
        <v>0.33308493663051403</v>
      </c>
      <c r="N401" s="7">
        <f t="shared" si="102"/>
        <v>0.52546123823654844</v>
      </c>
      <c r="O401" s="7">
        <v>0.38978862787398483</v>
      </c>
      <c r="P401" s="7">
        <f t="shared" si="103"/>
        <v>0.36368195034580619</v>
      </c>
      <c r="Q401" s="7">
        <f t="shared" si="107"/>
        <v>-2.6106677528178635E-2</v>
      </c>
      <c r="R401" s="7">
        <f t="shared" si="104"/>
        <v>-7.7895576466294081E-2</v>
      </c>
      <c r="S401" s="7">
        <f t="shared" si="108"/>
        <v>-3.741473634722231E-2</v>
      </c>
      <c r="T401" s="7">
        <f t="shared" si="109"/>
        <v>1</v>
      </c>
      <c r="U401" s="7">
        <f t="shared" si="105"/>
        <v>0.89594213110724508</v>
      </c>
      <c r="V401" s="7">
        <f t="shared" si="110"/>
        <v>4.8084582807159722E-2</v>
      </c>
      <c r="W401" s="7">
        <f t="shared" si="111"/>
        <v>0</v>
      </c>
      <c r="X401" s="8" t="s">
        <v>3</v>
      </c>
      <c r="Y401" s="7">
        <v>0.52546123823654844</v>
      </c>
      <c r="Z401" s="7">
        <v>0.36368195034580619</v>
      </c>
      <c r="AC401" s="7">
        <f t="shared" si="112"/>
        <v>0.44157752681210027</v>
      </c>
      <c r="AD401" s="7">
        <f t="shared" si="113"/>
        <v>0.53226018076143888</v>
      </c>
      <c r="AE401" s="6" t="s">
        <v>3</v>
      </c>
      <c r="AF401" s="6" t="s">
        <v>3</v>
      </c>
      <c r="AG401" s="6" t="s">
        <v>3</v>
      </c>
      <c r="AH401" s="6" t="s">
        <v>3</v>
      </c>
      <c r="AI401" s="6" t="s">
        <v>3</v>
      </c>
      <c r="AJ401" s="6" t="s">
        <v>3</v>
      </c>
      <c r="AK401" s="5">
        <f t="shared" si="114"/>
        <v>764.57316235634187</v>
      </c>
      <c r="AL401" s="7">
        <f t="shared" si="115"/>
        <v>-7.7895576466294081E-2</v>
      </c>
      <c r="AM401" s="7">
        <f t="shared" si="116"/>
        <v>0.89594213110724508</v>
      </c>
    </row>
    <row r="402" spans="10:39" x14ac:dyDescent="0.25">
      <c r="J402" s="3">
        <v>396</v>
      </c>
      <c r="K402" s="7">
        <v>0.53383105284190879</v>
      </c>
      <c r="L402" s="7">
        <f t="shared" si="106"/>
        <v>0.36518122703429023</v>
      </c>
      <c r="M402" s="7">
        <f t="shared" ca="1" si="101"/>
        <v>0.15736566870412891</v>
      </c>
      <c r="N402" s="7">
        <f t="shared" si="102"/>
        <v>0.53383105284190879</v>
      </c>
      <c r="O402" s="7">
        <v>0.54295167977993797</v>
      </c>
      <c r="P402" s="7">
        <f t="shared" si="103"/>
        <v>0.3767328161178809</v>
      </c>
      <c r="Q402" s="7">
        <f t="shared" si="107"/>
        <v>-0.16621886366205707</v>
      </c>
      <c r="R402" s="7">
        <f t="shared" si="104"/>
        <v>-6.0261306043963181E-2</v>
      </c>
      <c r="S402" s="7">
        <f t="shared" si="108"/>
        <v>-4.8257038865912094E-2</v>
      </c>
      <c r="T402" s="7">
        <f t="shared" si="109"/>
        <v>1</v>
      </c>
      <c r="U402" s="7">
        <f t="shared" si="105"/>
        <v>0.91924369069235401</v>
      </c>
      <c r="V402" s="7">
        <f t="shared" si="110"/>
        <v>3.5747741036679527E-2</v>
      </c>
      <c r="W402" s="7">
        <f t="shared" si="111"/>
        <v>0</v>
      </c>
      <c r="X402" s="8" t="s">
        <v>3</v>
      </c>
      <c r="Y402" s="7">
        <v>0.53383105284190879</v>
      </c>
      <c r="Z402" s="7">
        <v>0.3767328161178809</v>
      </c>
      <c r="AC402" s="7">
        <f t="shared" si="112"/>
        <v>0.43699412216184408</v>
      </c>
      <c r="AD402" s="7">
        <f t="shared" si="113"/>
        <v>0.54251087457447311</v>
      </c>
      <c r="AE402" s="6" t="s">
        <v>3</v>
      </c>
      <c r="AF402" s="6" t="s">
        <v>3</v>
      </c>
      <c r="AG402" s="6" t="s">
        <v>3</v>
      </c>
      <c r="AH402" s="6" t="s">
        <v>3</v>
      </c>
      <c r="AI402" s="6" t="s">
        <v>3</v>
      </c>
      <c r="AJ402" s="6" t="s">
        <v>3</v>
      </c>
      <c r="AK402" s="5">
        <f t="shared" si="114"/>
        <v>768.78005341418202</v>
      </c>
      <c r="AL402" s="7">
        <f t="shared" si="115"/>
        <v>-6.0261306043963181E-2</v>
      </c>
      <c r="AM402" s="7">
        <f t="shared" si="116"/>
        <v>0.91924369069235401</v>
      </c>
    </row>
    <row r="403" spans="10:39" x14ac:dyDescent="0.25">
      <c r="J403" s="3">
        <v>397</v>
      </c>
      <c r="K403" s="7">
        <v>0.53713451251334843</v>
      </c>
      <c r="L403" s="7">
        <f t="shared" si="106"/>
        <v>0.36938757509551096</v>
      </c>
      <c r="M403" s="7">
        <f t="shared" ca="1" si="101"/>
        <v>0.46237443867957295</v>
      </c>
      <c r="N403" s="7">
        <f t="shared" si="102"/>
        <v>0.53713451251334843</v>
      </c>
      <c r="O403" s="7">
        <v>0.622387651048257</v>
      </c>
      <c r="P403" s="7">
        <f t="shared" si="103"/>
        <v>0.3817893818904543</v>
      </c>
      <c r="Q403" s="7">
        <f t="shared" si="107"/>
        <v>-0.24059826915780269</v>
      </c>
      <c r="R403" s="7">
        <f t="shared" si="104"/>
        <v>-5.3215190255149203E-2</v>
      </c>
      <c r="S403" s="7">
        <f t="shared" si="108"/>
        <v>-5.40482273042725E-2</v>
      </c>
      <c r="T403" s="7">
        <f t="shared" si="109"/>
        <v>1</v>
      </c>
      <c r="U403" s="7">
        <f t="shared" si="105"/>
        <v>0.92810226201409063</v>
      </c>
      <c r="V403" s="7">
        <f t="shared" si="110"/>
        <v>2.9042888041754197E-2</v>
      </c>
      <c r="W403" s="7">
        <f t="shared" si="111"/>
        <v>0</v>
      </c>
      <c r="X403" s="8" t="s">
        <v>3</v>
      </c>
      <c r="Y403" s="7">
        <v>0.53713451251334843</v>
      </c>
      <c r="Z403" s="7">
        <v>0.3817893818904543</v>
      </c>
      <c r="AC403" s="7">
        <f t="shared" si="112"/>
        <v>0.43500457214560351</v>
      </c>
      <c r="AD403" s="7">
        <f t="shared" si="113"/>
        <v>0.54631288012363632</v>
      </c>
      <c r="AE403" s="6" t="s">
        <v>3</v>
      </c>
      <c r="AF403" s="6" t="s">
        <v>3</v>
      </c>
      <c r="AG403" s="6" t="s">
        <v>3</v>
      </c>
      <c r="AH403" s="6" t="s">
        <v>3</v>
      </c>
      <c r="AI403" s="6" t="s">
        <v>3</v>
      </c>
      <c r="AJ403" s="6" t="s">
        <v>3</v>
      </c>
      <c r="AK403" s="5">
        <f t="shared" si="114"/>
        <v>770.44045995924637</v>
      </c>
      <c r="AL403" s="7">
        <f t="shared" si="115"/>
        <v>-5.3215190255149203E-2</v>
      </c>
      <c r="AM403" s="7">
        <f t="shared" si="116"/>
        <v>0.92810226201409063</v>
      </c>
    </row>
    <row r="404" spans="10:39" x14ac:dyDescent="0.25">
      <c r="J404" s="3">
        <v>398</v>
      </c>
      <c r="K404" s="7">
        <v>0.53845921683900411</v>
      </c>
      <c r="L404" s="7">
        <f t="shared" si="106"/>
        <v>0.37106055903611362</v>
      </c>
      <c r="M404" s="7">
        <f t="shared" ca="1" si="101"/>
        <v>0.14508474988998885</v>
      </c>
      <c r="N404" s="7">
        <f t="shared" si="102"/>
        <v>0.53845921683900411</v>
      </c>
      <c r="O404" s="7">
        <v>0.24099754610754781</v>
      </c>
      <c r="P404" s="7">
        <f t="shared" si="103"/>
        <v>0.38380029833262519</v>
      </c>
      <c r="Q404" s="7">
        <f t="shared" si="107"/>
        <v>0.14280275222507738</v>
      </c>
      <c r="R404" s="7">
        <f t="shared" si="104"/>
        <v>-5.0379859486567646E-2</v>
      </c>
      <c r="S404" s="7">
        <f t="shared" si="108"/>
        <v>-2.3310192447529236E-2</v>
      </c>
      <c r="T404" s="7">
        <f t="shared" si="109"/>
        <v>1</v>
      </c>
      <c r="U404" s="7">
        <f t="shared" si="105"/>
        <v>0.93159638624698915</v>
      </c>
      <c r="V404" s="7">
        <f t="shared" si="110"/>
        <v>6.560688981324693E-2</v>
      </c>
      <c r="W404" s="7">
        <f t="shared" si="111"/>
        <v>0</v>
      </c>
      <c r="X404" s="8" t="s">
        <v>3</v>
      </c>
      <c r="Y404" s="7">
        <v>0.53845921683900411</v>
      </c>
      <c r="Z404" s="7">
        <v>0.38380029833262519</v>
      </c>
      <c r="AC404" s="7">
        <f t="shared" si="112"/>
        <v>0.43418015781919284</v>
      </c>
      <c r="AD404" s="7">
        <f t="shared" si="113"/>
        <v>0.54779608791436396</v>
      </c>
      <c r="AE404" s="6" t="s">
        <v>3</v>
      </c>
      <c r="AF404" s="6" t="s">
        <v>3</v>
      </c>
      <c r="AG404" s="6" t="s">
        <v>3</v>
      </c>
      <c r="AH404" s="6" t="s">
        <v>3</v>
      </c>
      <c r="AI404" s="6" t="s">
        <v>3</v>
      </c>
      <c r="AJ404" s="6" t="s">
        <v>3</v>
      </c>
      <c r="AK404" s="5">
        <f t="shared" si="114"/>
        <v>771.10629152716604</v>
      </c>
      <c r="AL404" s="7">
        <f t="shared" si="115"/>
        <v>-5.0379859486567646E-2</v>
      </c>
      <c r="AM404" s="7">
        <f t="shared" si="116"/>
        <v>0.93159638624698915</v>
      </c>
    </row>
    <row r="405" spans="10:39" x14ac:dyDescent="0.25">
      <c r="J405" s="3">
        <v>399</v>
      </c>
      <c r="K405" s="7">
        <v>0.54751622016883483</v>
      </c>
      <c r="L405" s="7">
        <f t="shared" si="106"/>
        <v>0.3822719178813474</v>
      </c>
      <c r="M405" s="7">
        <f t="shared" ca="1" si="101"/>
        <v>0.75506513465706848</v>
      </c>
      <c r="N405" s="7">
        <f t="shared" si="102"/>
        <v>0.54751622016883483</v>
      </c>
      <c r="O405" s="7">
        <v>1.1941605661552639</v>
      </c>
      <c r="P405" s="7">
        <f t="shared" si="103"/>
        <v>0.39726260885648967</v>
      </c>
      <c r="Q405" s="7">
        <f t="shared" si="107"/>
        <v>-0.79689795729877422</v>
      </c>
      <c r="R405" s="7">
        <f t="shared" si="104"/>
        <v>-3.0912894462914231E-2</v>
      </c>
      <c r="S405" s="7">
        <f t="shared" si="108"/>
        <v>-9.8005876849454249E-2</v>
      </c>
      <c r="T405" s="7">
        <f t="shared" si="109"/>
        <v>1</v>
      </c>
      <c r="U405" s="7">
        <f t="shared" si="105"/>
        <v>0.95452436981082189</v>
      </c>
      <c r="V405" s="7">
        <f t="shared" si="110"/>
        <v>-0.21687075769172001</v>
      </c>
      <c r="W405" s="7">
        <f t="shared" si="111"/>
        <v>1</v>
      </c>
      <c r="X405" s="8" t="s">
        <v>3</v>
      </c>
      <c r="Y405" s="7">
        <v>0.54751622016883483</v>
      </c>
      <c r="Z405" s="7">
        <v>0.39726260885648967</v>
      </c>
      <c r="AC405" s="7">
        <f t="shared" si="112"/>
        <v>0.42817550331940391</v>
      </c>
      <c r="AD405" s="7">
        <f t="shared" si="113"/>
        <v>0.55726176095433222</v>
      </c>
      <c r="AE405" s="6" t="s">
        <v>3</v>
      </c>
      <c r="AF405" s="6" t="s">
        <v>3</v>
      </c>
      <c r="AG405" s="6" t="s">
        <v>3</v>
      </c>
      <c r="AH405" s="6" t="s">
        <v>3</v>
      </c>
      <c r="AI405" s="6" t="s">
        <v>3</v>
      </c>
      <c r="AJ405" s="6" t="s">
        <v>3</v>
      </c>
      <c r="AK405" s="5">
        <f t="shared" si="114"/>
        <v>775.65858188431355</v>
      </c>
      <c r="AL405" s="7">
        <f t="shared" si="115"/>
        <v>-3.0912894462914231E-2</v>
      </c>
      <c r="AM405" s="7">
        <f t="shared" si="116"/>
        <v>0.95452436981082189</v>
      </c>
    </row>
    <row r="406" spans="10:39" x14ac:dyDescent="0.25">
      <c r="J406" s="3">
        <v>400</v>
      </c>
      <c r="K406" s="7">
        <v>0.55112210099525516</v>
      </c>
      <c r="L406" s="7">
        <f t="shared" si="106"/>
        <v>0.38661766977804307</v>
      </c>
      <c r="M406" s="7">
        <f t="shared" ca="1" si="101"/>
        <v>0.74530407043586466</v>
      </c>
      <c r="N406" s="7">
        <f t="shared" si="102"/>
        <v>0.55112210099525516</v>
      </c>
      <c r="O406" s="7">
        <v>-5.6007683282449094E-2</v>
      </c>
      <c r="P406" s="7">
        <f t="shared" si="103"/>
        <v>0.40246906172649899</v>
      </c>
      <c r="Q406" s="7">
        <f t="shared" si="107"/>
        <v>0.45847674500894808</v>
      </c>
      <c r="R406" s="7">
        <f t="shared" si="104"/>
        <v>-2.3158862968696958E-2</v>
      </c>
      <c r="S406" s="7">
        <f t="shared" si="108"/>
        <v>3.0220914688651967E-2</v>
      </c>
      <c r="T406" s="7">
        <f t="shared" si="109"/>
        <v>0</v>
      </c>
      <c r="U406" s="7">
        <f t="shared" si="105"/>
        <v>0.96315313043875261</v>
      </c>
      <c r="V406" s="7">
        <f t="shared" si="110"/>
        <v>9.6820277303514168E-2</v>
      </c>
      <c r="W406" s="7">
        <f t="shared" si="111"/>
        <v>0</v>
      </c>
      <c r="X406" s="8" t="s">
        <v>3</v>
      </c>
      <c r="Y406" s="7">
        <v>0.55112210099525516</v>
      </c>
      <c r="Z406" s="7">
        <v>0.40246906172649899</v>
      </c>
      <c r="AC406" s="7">
        <f t="shared" si="112"/>
        <v>0.42562792469519595</v>
      </c>
      <c r="AD406" s="7">
        <f t="shared" si="113"/>
        <v>0.56068406871225362</v>
      </c>
      <c r="AE406" s="6" t="s">
        <v>3</v>
      </c>
      <c r="AF406" s="6" t="s">
        <v>3</v>
      </c>
      <c r="AG406" s="6" t="s">
        <v>3</v>
      </c>
      <c r="AH406" s="6" t="s">
        <v>3</v>
      </c>
      <c r="AI406" s="6" t="s">
        <v>3</v>
      </c>
      <c r="AJ406" s="6" t="s">
        <v>3</v>
      </c>
      <c r="AK406" s="5">
        <f t="shared" si="114"/>
        <v>777.4709933318253</v>
      </c>
      <c r="AL406" s="7">
        <f t="shared" si="115"/>
        <v>-2.3158862968696958E-2</v>
      </c>
      <c r="AM406" s="7">
        <f t="shared" si="116"/>
        <v>0.96315313043875261</v>
      </c>
    </row>
    <row r="407" spans="10:39" x14ac:dyDescent="0.25">
      <c r="J407" s="3">
        <v>401</v>
      </c>
      <c r="K407" s="7">
        <v>0.56428207499401473</v>
      </c>
      <c r="L407" s="7">
        <f t="shared" si="106"/>
        <v>0.40183954870278649</v>
      </c>
      <c r="M407" s="7">
        <f t="shared" ca="1" si="101"/>
        <v>9.4412094712023525E-2</v>
      </c>
      <c r="N407" s="7">
        <f t="shared" si="102"/>
        <v>0.56428207499401473</v>
      </c>
      <c r="O407" s="7">
        <v>0.33891750635121254</v>
      </c>
      <c r="P407" s="7">
        <f t="shared" si="103"/>
        <v>0.42060323441329306</v>
      </c>
      <c r="Q407" s="7">
        <f t="shared" si="107"/>
        <v>8.168572806208052E-2</v>
      </c>
      <c r="R407" s="7">
        <f t="shared" si="104"/>
        <v>4.809229680636129E-3</v>
      </c>
      <c r="S407" s="7">
        <f t="shared" si="108"/>
        <v>-2.6728662133646112E-2</v>
      </c>
      <c r="T407" s="7">
        <f t="shared" si="109"/>
        <v>1</v>
      </c>
      <c r="U407" s="7">
        <f t="shared" si="105"/>
        <v>0.99195928853118143</v>
      </c>
      <c r="V407" s="7">
        <f t="shared" si="110"/>
        <v>6.2038969307097049E-2</v>
      </c>
      <c r="W407" s="7">
        <f t="shared" si="111"/>
        <v>0</v>
      </c>
      <c r="X407" s="8" t="s">
        <v>3</v>
      </c>
      <c r="Y407" s="7">
        <v>0.56428207499401473</v>
      </c>
      <c r="Z407" s="7">
        <v>0.42060323441329306</v>
      </c>
      <c r="AC407" s="7">
        <f t="shared" si="112"/>
        <v>0.41579400473265693</v>
      </c>
      <c r="AD407" s="7">
        <f t="shared" si="113"/>
        <v>0.57135605411788837</v>
      </c>
      <c r="AE407" s="6" t="s">
        <v>3</v>
      </c>
      <c r="AF407" s="6" t="s">
        <v>3</v>
      </c>
      <c r="AG407" s="6" t="s">
        <v>3</v>
      </c>
      <c r="AH407" s="6" t="s">
        <v>3</v>
      </c>
      <c r="AI407" s="6" t="s">
        <v>3</v>
      </c>
      <c r="AJ407" s="6" t="s">
        <v>3</v>
      </c>
      <c r="AK407" s="5">
        <f t="shared" si="114"/>
        <v>784.08554569016974</v>
      </c>
      <c r="AL407" s="7">
        <f t="shared" si="115"/>
        <v>4.809229680636129E-3</v>
      </c>
      <c r="AM407" s="7">
        <f t="shared" si="116"/>
        <v>0.99195928853118143</v>
      </c>
    </row>
    <row r="408" spans="10:39" x14ac:dyDescent="0.25">
      <c r="J408" s="3">
        <v>402</v>
      </c>
      <c r="K408" s="7">
        <v>0.56560109106349654</v>
      </c>
      <c r="L408" s="7">
        <f t="shared" si="106"/>
        <v>0.40330579531560079</v>
      </c>
      <c r="M408" s="7">
        <f t="shared" ca="1" si="101"/>
        <v>0.37309829983064302</v>
      </c>
      <c r="N408" s="7">
        <f t="shared" si="102"/>
        <v>0.56560109106349654</v>
      </c>
      <c r="O408" s="7">
        <v>0.19050065517745857</v>
      </c>
      <c r="P408" s="7">
        <f t="shared" si="103"/>
        <v>0.42233819418485252</v>
      </c>
      <c r="Q408" s="7">
        <f t="shared" si="107"/>
        <v>0.23183753900739396</v>
      </c>
      <c r="R408" s="7">
        <f t="shared" si="104"/>
        <v>7.5613235922364908E-3</v>
      </c>
      <c r="S408" s="7">
        <f t="shared" si="108"/>
        <v>-1.4635146526817766E-2</v>
      </c>
      <c r="T408" s="7">
        <f t="shared" si="109"/>
        <v>1</v>
      </c>
      <c r="U408" s="7">
        <f t="shared" si="105"/>
        <v>0.99459906416218113</v>
      </c>
      <c r="V408" s="7">
        <f t="shared" si="110"/>
        <v>7.6389348853548644E-2</v>
      </c>
      <c r="W408" s="7">
        <f t="shared" si="111"/>
        <v>0</v>
      </c>
      <c r="X408" s="8" t="s">
        <v>3</v>
      </c>
      <c r="Y408" s="7">
        <v>0.56560109106349654</v>
      </c>
      <c r="Z408" s="7">
        <v>0.42233819418485252</v>
      </c>
      <c r="AC408" s="7">
        <f t="shared" si="112"/>
        <v>0.41477687059261603</v>
      </c>
      <c r="AD408" s="7">
        <f t="shared" si="113"/>
        <v>0.57226086997732861</v>
      </c>
      <c r="AE408" s="6" t="s">
        <v>3</v>
      </c>
      <c r="AF408" s="6" t="s">
        <v>3</v>
      </c>
      <c r="AG408" s="6" t="s">
        <v>3</v>
      </c>
      <c r="AH408" s="6" t="s">
        <v>3</v>
      </c>
      <c r="AI408" s="6" t="s">
        <v>3</v>
      </c>
      <c r="AJ408" s="6" t="s">
        <v>3</v>
      </c>
      <c r="AK408" s="5">
        <f t="shared" si="114"/>
        <v>784.74851818950037</v>
      </c>
      <c r="AL408" s="7">
        <f t="shared" si="115"/>
        <v>7.5613235922364908E-3</v>
      </c>
      <c r="AM408" s="7">
        <f t="shared" si="116"/>
        <v>0.99459906416218113</v>
      </c>
    </row>
    <row r="409" spans="10:39" x14ac:dyDescent="0.25">
      <c r="J409" s="3">
        <v>403</v>
      </c>
      <c r="K409" s="7">
        <v>0.56847270854909882</v>
      </c>
      <c r="L409" s="7">
        <f t="shared" si="106"/>
        <v>0.40645797123447852</v>
      </c>
      <c r="M409" s="7">
        <f t="shared" ca="1" si="101"/>
        <v>0.75226427288676856</v>
      </c>
      <c r="N409" s="7">
        <f t="shared" si="102"/>
        <v>0.56847270854909882</v>
      </c>
      <c r="O409" s="7">
        <v>0.5188302309578442</v>
      </c>
      <c r="P409" s="7">
        <f t="shared" si="103"/>
        <v>0.42605880991186007</v>
      </c>
      <c r="Q409" s="7">
        <f t="shared" si="107"/>
        <v>-9.2771421045984126E-2</v>
      </c>
      <c r="R409" s="7">
        <f t="shared" si="104"/>
        <v>1.3506556351683408E-2</v>
      </c>
      <c r="S409" s="7">
        <f t="shared" si="108"/>
        <v>-4.0425893968492867E-2</v>
      </c>
      <c r="T409" s="7">
        <f t="shared" si="109"/>
        <v>1</v>
      </c>
      <c r="U409" s="7">
        <f t="shared" si="105"/>
        <v>1.0001818201721984</v>
      </c>
      <c r="V409" s="7">
        <f t="shared" si="110"/>
        <v>4.5728400975363646E-2</v>
      </c>
      <c r="W409" s="7">
        <f t="shared" si="111"/>
        <v>0</v>
      </c>
      <c r="X409" s="8" t="s">
        <v>3</v>
      </c>
      <c r="Y409" s="7">
        <v>0.56847270854909882</v>
      </c>
      <c r="Z409" s="7">
        <v>0.42605880991186007</v>
      </c>
      <c r="AC409" s="7">
        <f t="shared" si="112"/>
        <v>0.41255225356017666</v>
      </c>
      <c r="AD409" s="7">
        <f t="shared" si="113"/>
        <v>0.5741230102603383</v>
      </c>
      <c r="AE409" s="6" t="s">
        <v>3</v>
      </c>
      <c r="AF409" s="6" t="s">
        <v>3</v>
      </c>
      <c r="AG409" s="6" t="s">
        <v>3</v>
      </c>
      <c r="AH409" s="6" t="s">
        <v>3</v>
      </c>
      <c r="AI409" s="6" t="s">
        <v>3</v>
      </c>
      <c r="AJ409" s="6" t="s">
        <v>3</v>
      </c>
      <c r="AK409" s="5">
        <f t="shared" si="114"/>
        <v>786.19186938559267</v>
      </c>
      <c r="AL409" s="7">
        <f t="shared" si="115"/>
        <v>1.3506556351683408E-2</v>
      </c>
      <c r="AM409" s="7">
        <f t="shared" si="116"/>
        <v>1.0001818201721984</v>
      </c>
    </row>
    <row r="410" spans="10:39" x14ac:dyDescent="0.25">
      <c r="J410" s="3">
        <v>404</v>
      </c>
      <c r="K410" s="7">
        <v>0.56902952746162794</v>
      </c>
      <c r="L410" s="7">
        <f t="shared" si="106"/>
        <v>0.40706274049991414</v>
      </c>
      <c r="M410" s="7">
        <f t="shared" ca="1" si="101"/>
        <v>0.357702627698397</v>
      </c>
      <c r="N410" s="7">
        <f t="shared" si="102"/>
        <v>0.56902952746162794</v>
      </c>
      <c r="O410" s="7">
        <v>0.31659716714076108</v>
      </c>
      <c r="P410" s="7">
        <f t="shared" si="103"/>
        <v>0.42677109093974197</v>
      </c>
      <c r="Q410" s="7">
        <f t="shared" si="107"/>
        <v>0.11017392379898089</v>
      </c>
      <c r="R410" s="7">
        <f t="shared" si="104"/>
        <v>1.4651385984664422E-2</v>
      </c>
      <c r="S410" s="7">
        <f t="shared" si="108"/>
        <v>-2.4155662492487733E-2</v>
      </c>
      <c r="T410" s="7">
        <f t="shared" si="109"/>
        <v>1</v>
      </c>
      <c r="U410" s="7">
        <f t="shared" si="105"/>
        <v>1.0012379460565597</v>
      </c>
      <c r="V410" s="7">
        <f t="shared" si="110"/>
        <v>6.504087399700087E-2</v>
      </c>
      <c r="W410" s="7">
        <f t="shared" si="111"/>
        <v>0</v>
      </c>
      <c r="X410" s="8" t="s">
        <v>3</v>
      </c>
      <c r="Y410" s="7">
        <v>0.56902952746162794</v>
      </c>
      <c r="Z410" s="7">
        <v>0.42677109093974197</v>
      </c>
      <c r="AC410" s="7">
        <f t="shared" si="112"/>
        <v>0.41211970495507755</v>
      </c>
      <c r="AD410" s="7">
        <f t="shared" si="113"/>
        <v>0.57446685511681772</v>
      </c>
      <c r="AE410" s="6" t="s">
        <v>3</v>
      </c>
      <c r="AF410" s="6" t="s">
        <v>3</v>
      </c>
      <c r="AG410" s="6" t="s">
        <v>3</v>
      </c>
      <c r="AH410" s="6" t="s">
        <v>3</v>
      </c>
      <c r="AI410" s="6" t="s">
        <v>3</v>
      </c>
      <c r="AJ410" s="6" t="s">
        <v>3</v>
      </c>
      <c r="AK410" s="5">
        <f t="shared" si="114"/>
        <v>786.47174135580997</v>
      </c>
      <c r="AL410" s="7">
        <f t="shared" si="115"/>
        <v>1.4651385984664422E-2</v>
      </c>
      <c r="AM410" s="7">
        <f t="shared" si="116"/>
        <v>1.0012379460565597</v>
      </c>
    </row>
    <row r="411" spans="10:39" x14ac:dyDescent="0.25">
      <c r="J411" s="3">
        <v>405</v>
      </c>
      <c r="K411" s="7">
        <v>0.57284823209129376</v>
      </c>
      <c r="L411" s="7">
        <f t="shared" si="106"/>
        <v>0.41115236695405216</v>
      </c>
      <c r="M411" s="7">
        <f t="shared" ca="1" si="101"/>
        <v>0.44161186837541688</v>
      </c>
      <c r="N411" s="7">
        <f t="shared" si="102"/>
        <v>0.57284823209129376</v>
      </c>
      <c r="O411" s="7">
        <v>0.64654737994841227</v>
      </c>
      <c r="P411" s="7">
        <f t="shared" si="103"/>
        <v>0.43157323891835109</v>
      </c>
      <c r="Q411" s="7">
        <f t="shared" si="107"/>
        <v>-0.21497414103006118</v>
      </c>
      <c r="R411" s="7">
        <f t="shared" si="104"/>
        <v>2.2424440334249063E-2</v>
      </c>
      <c r="S411" s="7">
        <f t="shared" si="108"/>
        <v>-4.9929835169133061E-2</v>
      </c>
      <c r="T411" s="7">
        <f t="shared" si="109"/>
        <v>1</v>
      </c>
      <c r="U411" s="7">
        <f t="shared" si="105"/>
        <v>1.0082456363111343</v>
      </c>
      <c r="V411" s="7">
        <f t="shared" si="110"/>
        <v>3.4361334354458595E-2</v>
      </c>
      <c r="W411" s="7">
        <f t="shared" si="111"/>
        <v>0</v>
      </c>
      <c r="X411" s="8" t="s">
        <v>3</v>
      </c>
      <c r="Y411" s="7">
        <v>0.57284823209129376</v>
      </c>
      <c r="Z411" s="7">
        <v>0.43157323891835109</v>
      </c>
      <c r="AC411" s="7">
        <f t="shared" si="112"/>
        <v>0.40914879858410202</v>
      </c>
      <c r="AD411" s="7">
        <f t="shared" si="113"/>
        <v>0.5766723973927832</v>
      </c>
      <c r="AE411" s="6" t="s">
        <v>3</v>
      </c>
      <c r="AF411" s="6" t="s">
        <v>3</v>
      </c>
      <c r="AG411" s="6" t="s">
        <v>3</v>
      </c>
      <c r="AH411" s="6" t="s">
        <v>3</v>
      </c>
      <c r="AI411" s="6" t="s">
        <v>3</v>
      </c>
      <c r="AJ411" s="6" t="s">
        <v>3</v>
      </c>
      <c r="AK411" s="5">
        <f t="shared" si="114"/>
        <v>788.39112369777786</v>
      </c>
      <c r="AL411" s="7">
        <f t="shared" si="115"/>
        <v>2.2424440334249063E-2</v>
      </c>
      <c r="AM411" s="7">
        <f t="shared" si="116"/>
        <v>1.0082456363111343</v>
      </c>
    </row>
    <row r="412" spans="10:39" x14ac:dyDescent="0.25">
      <c r="J412" s="3">
        <v>406</v>
      </c>
      <c r="K412" s="7">
        <v>0.57301397370959517</v>
      </c>
      <c r="L412" s="7">
        <f t="shared" si="106"/>
        <v>0.41132754173856823</v>
      </c>
      <c r="M412" s="7">
        <f t="shared" ca="1" si="101"/>
        <v>0.70372494783707207</v>
      </c>
      <c r="N412" s="7">
        <f t="shared" si="102"/>
        <v>0.57301397370959517</v>
      </c>
      <c r="O412" s="7">
        <v>0.25498142846249494</v>
      </c>
      <c r="P412" s="7">
        <f t="shared" si="103"/>
        <v>0.43177833269354382</v>
      </c>
      <c r="Q412" s="7">
        <f t="shared" si="107"/>
        <v>0.17679690423104888</v>
      </c>
      <c r="R412" s="7">
        <f t="shared" si="104"/>
        <v>2.2758506684594337E-2</v>
      </c>
      <c r="S412" s="7">
        <f t="shared" si="108"/>
        <v>-1.8577833742232049E-2</v>
      </c>
      <c r="T412" s="7">
        <f t="shared" si="109"/>
        <v>1</v>
      </c>
      <c r="U412" s="7">
        <f t="shared" si="105"/>
        <v>1.0085403864917664</v>
      </c>
      <c r="V412" s="7">
        <f t="shared" si="110"/>
        <v>7.1588101012780792E-2</v>
      </c>
      <c r="W412" s="7">
        <f t="shared" si="111"/>
        <v>0</v>
      </c>
      <c r="X412" s="8" t="s">
        <v>3</v>
      </c>
      <c r="Y412" s="7">
        <v>0.57301397370959517</v>
      </c>
      <c r="Z412" s="7">
        <v>0.43177833269354382</v>
      </c>
      <c r="AC412" s="7">
        <f t="shared" si="112"/>
        <v>0.40901982600894948</v>
      </c>
      <c r="AD412" s="7">
        <f t="shared" si="113"/>
        <v>0.57676205379822254</v>
      </c>
      <c r="AE412" s="6" t="s">
        <v>3</v>
      </c>
      <c r="AF412" s="6" t="s">
        <v>3</v>
      </c>
      <c r="AG412" s="6" t="s">
        <v>3</v>
      </c>
      <c r="AH412" s="6" t="s">
        <v>3</v>
      </c>
      <c r="AI412" s="6" t="s">
        <v>3</v>
      </c>
      <c r="AJ412" s="6" t="s">
        <v>3</v>
      </c>
      <c r="AK412" s="5">
        <f t="shared" si="114"/>
        <v>788.47442983594476</v>
      </c>
      <c r="AL412" s="7">
        <f t="shared" si="115"/>
        <v>2.2758506684594337E-2</v>
      </c>
      <c r="AM412" s="7">
        <f t="shared" si="116"/>
        <v>1.0085403864917664</v>
      </c>
    </row>
    <row r="413" spans="10:39" x14ac:dyDescent="0.25">
      <c r="J413" s="3">
        <v>407</v>
      </c>
      <c r="K413" s="7">
        <v>0.57536616401202401</v>
      </c>
      <c r="L413" s="7">
        <f t="shared" si="106"/>
        <v>0.41379229855987026</v>
      </c>
      <c r="M413" s="7">
        <f t="shared" ca="1" si="101"/>
        <v>0.46146126624727379</v>
      </c>
      <c r="N413" s="7">
        <f t="shared" si="102"/>
        <v>0.57536616401202401</v>
      </c>
      <c r="O413" s="7">
        <v>0.44037905456527682</v>
      </c>
      <c r="P413" s="7">
        <f t="shared" si="103"/>
        <v>0.43465835337119341</v>
      </c>
      <c r="Q413" s="7">
        <f t="shared" si="107"/>
        <v>-5.7207011940834107E-3</v>
      </c>
      <c r="R413" s="7">
        <f t="shared" si="104"/>
        <v>2.7467264080279996E-2</v>
      </c>
      <c r="S413" s="7">
        <f t="shared" si="108"/>
        <v>-3.3032943238799746E-2</v>
      </c>
      <c r="T413" s="7">
        <f t="shared" si="109"/>
        <v>1</v>
      </c>
      <c r="U413" s="7">
        <f t="shared" si="105"/>
        <v>1.0126379105129593</v>
      </c>
      <c r="V413" s="7">
        <f t="shared" si="110"/>
        <v>5.4364591315029832E-2</v>
      </c>
      <c r="W413" s="7">
        <f t="shared" si="111"/>
        <v>0</v>
      </c>
      <c r="X413" s="8" t="s">
        <v>3</v>
      </c>
      <c r="Y413" s="7">
        <v>0.57536616401202401</v>
      </c>
      <c r="Z413" s="7">
        <v>0.43465835337119341</v>
      </c>
      <c r="AC413" s="7">
        <f t="shared" si="112"/>
        <v>0.40719108929091341</v>
      </c>
      <c r="AD413" s="7">
        <f t="shared" si="113"/>
        <v>0.57797955714176585</v>
      </c>
      <c r="AE413" s="6" t="s">
        <v>3</v>
      </c>
      <c r="AF413" s="6" t="s">
        <v>3</v>
      </c>
      <c r="AG413" s="6" t="s">
        <v>3</v>
      </c>
      <c r="AH413" s="6" t="s">
        <v>3</v>
      </c>
      <c r="AI413" s="6" t="s">
        <v>3</v>
      </c>
      <c r="AJ413" s="6" t="s">
        <v>3</v>
      </c>
      <c r="AK413" s="5">
        <f t="shared" si="114"/>
        <v>789.65670313782744</v>
      </c>
      <c r="AL413" s="7">
        <f t="shared" si="115"/>
        <v>2.7467264080279996E-2</v>
      </c>
      <c r="AM413" s="7">
        <f t="shared" si="116"/>
        <v>1.0126379105129593</v>
      </c>
    </row>
    <row r="414" spans="10:39" x14ac:dyDescent="0.25">
      <c r="J414" s="3">
        <v>408</v>
      </c>
      <c r="K414" s="7">
        <v>0.57901701410609974</v>
      </c>
      <c r="L414" s="7">
        <f t="shared" si="106"/>
        <v>0.41753739181261645</v>
      </c>
      <c r="M414" s="7">
        <f t="shared" ca="1" si="101"/>
        <v>0.41695626437367339</v>
      </c>
      <c r="N414" s="7">
        <f t="shared" si="102"/>
        <v>0.57901701410609974</v>
      </c>
      <c r="O414" s="7">
        <v>0.19313998920101461</v>
      </c>
      <c r="P414" s="7">
        <f t="shared" si="103"/>
        <v>0.43901229169963951</v>
      </c>
      <c r="Q414" s="7">
        <f t="shared" si="107"/>
        <v>0.24587230249862491</v>
      </c>
      <c r="R414" s="7">
        <f t="shared" si="104"/>
        <v>3.4646714546820334E-2</v>
      </c>
      <c r="S414" s="7">
        <f t="shared" si="108"/>
        <v>-1.2679461972335541E-2</v>
      </c>
      <c r="T414" s="7">
        <f t="shared" si="109"/>
        <v>1</v>
      </c>
      <c r="U414" s="7">
        <f t="shared" si="105"/>
        <v>1.0186769949682482</v>
      </c>
      <c r="V414" s="7">
        <f t="shared" si="110"/>
        <v>7.8426015547887182E-2</v>
      </c>
      <c r="W414" s="7">
        <f t="shared" si="111"/>
        <v>0</v>
      </c>
      <c r="X414" s="8" t="s">
        <v>3</v>
      </c>
      <c r="Y414" s="7">
        <v>0.57901701410609974</v>
      </c>
      <c r="Z414" s="7">
        <v>0.43901229169963951</v>
      </c>
      <c r="AC414" s="7">
        <f t="shared" si="112"/>
        <v>0.40436557715281918</v>
      </c>
      <c r="AD414" s="7">
        <f t="shared" si="113"/>
        <v>0.57966470326860864</v>
      </c>
      <c r="AE414" s="6" t="s">
        <v>3</v>
      </c>
      <c r="AF414" s="6" t="s">
        <v>3</v>
      </c>
      <c r="AG414" s="6" t="s">
        <v>3</v>
      </c>
      <c r="AH414" s="6" t="s">
        <v>3</v>
      </c>
      <c r="AI414" s="6" t="s">
        <v>3</v>
      </c>
      <c r="AJ414" s="6" t="s">
        <v>3</v>
      </c>
      <c r="AK414" s="5">
        <f t="shared" si="114"/>
        <v>791.49171733329683</v>
      </c>
      <c r="AL414" s="7">
        <f t="shared" si="115"/>
        <v>3.4646714546820334E-2</v>
      </c>
      <c r="AM414" s="7">
        <f t="shared" si="116"/>
        <v>1.0186769949682482</v>
      </c>
    </row>
    <row r="415" spans="10:39" x14ac:dyDescent="0.25">
      <c r="J415" s="3">
        <v>409</v>
      </c>
      <c r="K415" s="7">
        <v>0.58121162097704038</v>
      </c>
      <c r="L415" s="7">
        <f t="shared" si="106"/>
        <v>0.41974028662419544</v>
      </c>
      <c r="M415" s="7">
        <f t="shared" ca="1" si="101"/>
        <v>0.18579963235239946</v>
      </c>
      <c r="N415" s="7">
        <f t="shared" si="102"/>
        <v>0.58121162097704038</v>
      </c>
      <c r="O415" s="7">
        <v>0.65668520707886313</v>
      </c>
      <c r="P415" s="7">
        <f t="shared" si="103"/>
        <v>0.44155944616115494</v>
      </c>
      <c r="Q415" s="7">
        <f t="shared" si="107"/>
        <v>-0.21512576091770819</v>
      </c>
      <c r="R415" s="7">
        <f t="shared" si="104"/>
        <v>3.8879437693871033E-2</v>
      </c>
      <c r="S415" s="7">
        <f t="shared" si="108"/>
        <v>-4.9424461550799367E-2</v>
      </c>
      <c r="T415" s="7">
        <f t="shared" si="109"/>
        <v>1</v>
      </c>
      <c r="U415" s="7">
        <f t="shared" si="105"/>
        <v>1.0221164301654133</v>
      </c>
      <c r="V415" s="7">
        <f t="shared" si="110"/>
        <v>3.4715966193222265E-2</v>
      </c>
      <c r="W415" s="7">
        <f t="shared" si="111"/>
        <v>0</v>
      </c>
      <c r="X415" s="8" t="s">
        <v>3</v>
      </c>
      <c r="Y415" s="7">
        <v>0.58121162097704038</v>
      </c>
      <c r="Z415" s="7">
        <v>0.44155944616115494</v>
      </c>
      <c r="AC415" s="7">
        <f t="shared" si="112"/>
        <v>0.40268000846728391</v>
      </c>
      <c r="AD415" s="7">
        <f t="shared" si="113"/>
        <v>0.58055698400425837</v>
      </c>
      <c r="AE415" s="6" t="s">
        <v>3</v>
      </c>
      <c r="AF415" s="6" t="s">
        <v>3</v>
      </c>
      <c r="AG415" s="6" t="s">
        <v>3</v>
      </c>
      <c r="AH415" s="6" t="s">
        <v>3</v>
      </c>
      <c r="AI415" s="6" t="s">
        <v>3</v>
      </c>
      <c r="AJ415" s="6" t="s">
        <v>3</v>
      </c>
      <c r="AK415" s="5">
        <f t="shared" si="114"/>
        <v>792.59478501832314</v>
      </c>
      <c r="AL415" s="7">
        <f t="shared" si="115"/>
        <v>3.8879437693871033E-2</v>
      </c>
      <c r="AM415" s="7">
        <f t="shared" si="116"/>
        <v>1.0221164301654133</v>
      </c>
    </row>
    <row r="416" spans="10:39" x14ac:dyDescent="0.25">
      <c r="J416" s="3">
        <v>410</v>
      </c>
      <c r="K416" s="7">
        <v>0.58146680738898837</v>
      </c>
      <c r="L416" s="7">
        <f t="shared" si="106"/>
        <v>0.41999403431894772</v>
      </c>
      <c r="M416" s="7">
        <f t="shared" ca="1" si="101"/>
        <v>0.36277618312404697</v>
      </c>
      <c r="N416" s="7">
        <f t="shared" si="102"/>
        <v>0.58146680738898837</v>
      </c>
      <c r="O416" s="7">
        <v>0.39570438455086504</v>
      </c>
      <c r="P416" s="7">
        <f t="shared" si="103"/>
        <v>0.44185213548673641</v>
      </c>
      <c r="Q416" s="7">
        <f t="shared" si="107"/>
        <v>4.6147750935871368E-2</v>
      </c>
      <c r="R416" s="7">
        <f t="shared" si="104"/>
        <v>3.9367298050862587E-2</v>
      </c>
      <c r="S416" s="7">
        <f t="shared" si="108"/>
        <v>-2.8506966920000196E-2</v>
      </c>
      <c r="T416" s="7">
        <f t="shared" si="109"/>
        <v>1</v>
      </c>
      <c r="U416" s="7">
        <f t="shared" si="105"/>
        <v>1.0225069612067859</v>
      </c>
      <c r="V416" s="7">
        <f t="shared" si="110"/>
        <v>5.9546244782312484E-2</v>
      </c>
      <c r="W416" s="7">
        <f t="shared" si="111"/>
        <v>0</v>
      </c>
      <c r="X416" s="8" t="s">
        <v>3</v>
      </c>
      <c r="Y416" s="7">
        <v>0.58146680738898837</v>
      </c>
      <c r="Z416" s="7">
        <v>0.44185213548673641</v>
      </c>
      <c r="AC416" s="7">
        <f t="shared" si="112"/>
        <v>0.40248483743587382</v>
      </c>
      <c r="AD416" s="7">
        <f t="shared" si="113"/>
        <v>0.58065482572004945</v>
      </c>
      <c r="AE416" s="6" t="s">
        <v>3</v>
      </c>
      <c r="AF416" s="6" t="s">
        <v>3</v>
      </c>
      <c r="AG416" s="6" t="s">
        <v>3</v>
      </c>
      <c r="AH416" s="6" t="s">
        <v>3</v>
      </c>
      <c r="AI416" s="6" t="s">
        <v>3</v>
      </c>
      <c r="AJ416" s="6" t="s">
        <v>3</v>
      </c>
      <c r="AK416" s="5">
        <f t="shared" si="114"/>
        <v>792.72304848473482</v>
      </c>
      <c r="AL416" s="7">
        <f t="shared" si="115"/>
        <v>3.9367298050862587E-2</v>
      </c>
      <c r="AM416" s="7">
        <f t="shared" si="116"/>
        <v>1.0225069612067859</v>
      </c>
    </row>
    <row r="417" spans="10:39" x14ac:dyDescent="0.25">
      <c r="J417" s="3">
        <v>411</v>
      </c>
      <c r="K417" s="7">
        <v>0.59181502940724573</v>
      </c>
      <c r="L417" s="7">
        <f t="shared" si="106"/>
        <v>0.42984555419677356</v>
      </c>
      <c r="M417" s="7">
        <f t="shared" ca="1" si="101"/>
        <v>0.64783089008013128</v>
      </c>
      <c r="N417" s="7">
        <f t="shared" si="102"/>
        <v>0.59181502940724573</v>
      </c>
      <c r="O417" s="7">
        <v>0.55782020525270082</v>
      </c>
      <c r="P417" s="7">
        <f t="shared" si="103"/>
        <v>0.45308162236177196</v>
      </c>
      <c r="Q417" s="7">
        <f t="shared" si="107"/>
        <v>-0.10473858289092886</v>
      </c>
      <c r="R417" s="7">
        <f t="shared" si="104"/>
        <v>5.8294017702071876E-2</v>
      </c>
      <c r="S417" s="7">
        <f t="shared" si="108"/>
        <v>-3.9962095004050319E-2</v>
      </c>
      <c r="T417" s="7">
        <f t="shared" si="109"/>
        <v>1</v>
      </c>
      <c r="U417" s="7">
        <f t="shared" si="105"/>
        <v>1.0366592036266657</v>
      </c>
      <c r="V417" s="7">
        <f t="shared" si="110"/>
        <v>4.5489704845526668E-2</v>
      </c>
      <c r="W417" s="7">
        <f t="shared" si="111"/>
        <v>0</v>
      </c>
      <c r="X417" s="8" t="s">
        <v>3</v>
      </c>
      <c r="Y417" s="7">
        <v>0.59181502940724573</v>
      </c>
      <c r="Z417" s="7">
        <v>0.45308162236177196</v>
      </c>
      <c r="AC417" s="7">
        <f t="shared" si="112"/>
        <v>0.39478760465970009</v>
      </c>
      <c r="AD417" s="7">
        <f t="shared" si="113"/>
        <v>0.58357758126489379</v>
      </c>
      <c r="AE417" s="6" t="s">
        <v>3</v>
      </c>
      <c r="AF417" s="6" t="s">
        <v>3</v>
      </c>
      <c r="AG417" s="6" t="s">
        <v>3</v>
      </c>
      <c r="AH417" s="6" t="s">
        <v>3</v>
      </c>
      <c r="AI417" s="6" t="s">
        <v>3</v>
      </c>
      <c r="AJ417" s="6" t="s">
        <v>3</v>
      </c>
      <c r="AK417" s="5">
        <f t="shared" si="114"/>
        <v>797.92433963941255</v>
      </c>
      <c r="AL417" s="7">
        <f t="shared" si="115"/>
        <v>5.8294017702071876E-2</v>
      </c>
      <c r="AM417" s="7">
        <f t="shared" si="116"/>
        <v>1.0366592036266657</v>
      </c>
    </row>
    <row r="418" spans="10:39" x14ac:dyDescent="0.25">
      <c r="J418" s="3">
        <v>412</v>
      </c>
      <c r="K418" s="7">
        <v>0.59212360201031533</v>
      </c>
      <c r="L418" s="7">
        <f t="shared" si="106"/>
        <v>0.43012575430061545</v>
      </c>
      <c r="M418" s="7">
        <f t="shared" ca="1" si="101"/>
        <v>0.4413482879116446</v>
      </c>
      <c r="N418" s="7">
        <f t="shared" si="102"/>
        <v>0.59212360201031533</v>
      </c>
      <c r="O418" s="7">
        <v>0.4746450333829183</v>
      </c>
      <c r="P418" s="7">
        <f t="shared" si="103"/>
        <v>0.45339664007703595</v>
      </c>
      <c r="Q418" s="7">
        <f t="shared" si="107"/>
        <v>-2.1248393305882352E-2</v>
      </c>
      <c r="R418" s="7">
        <f t="shared" si="104"/>
        <v>5.8830198410666057E-2</v>
      </c>
      <c r="S418" s="7">
        <f t="shared" si="108"/>
        <v>-3.3265186797780177E-2</v>
      </c>
      <c r="T418" s="7">
        <f t="shared" si="109"/>
        <v>1</v>
      </c>
      <c r="U418" s="7">
        <f t="shared" si="105"/>
        <v>1.0370299502348568</v>
      </c>
      <c r="V418" s="7">
        <f t="shared" si="110"/>
        <v>5.3426567100934158E-2</v>
      </c>
      <c r="W418" s="7">
        <f t="shared" si="111"/>
        <v>0</v>
      </c>
      <c r="X418" s="8" t="s">
        <v>3</v>
      </c>
      <c r="Y418" s="7">
        <v>0.59212360201031533</v>
      </c>
      <c r="Z418" s="7">
        <v>0.45339664007703595</v>
      </c>
      <c r="AC418" s="7">
        <f t="shared" si="112"/>
        <v>0.39456644166636989</v>
      </c>
      <c r="AD418" s="7">
        <f t="shared" si="113"/>
        <v>0.58363331015782083</v>
      </c>
      <c r="AE418" s="6" t="s">
        <v>3</v>
      </c>
      <c r="AF418" s="6" t="s">
        <v>3</v>
      </c>
      <c r="AG418" s="6" t="s">
        <v>3</v>
      </c>
      <c r="AH418" s="6" t="s">
        <v>3</v>
      </c>
      <c r="AI418" s="6" t="s">
        <v>3</v>
      </c>
      <c r="AJ418" s="6" t="s">
        <v>3</v>
      </c>
      <c r="AK418" s="5">
        <f t="shared" si="114"/>
        <v>798.07943642300393</v>
      </c>
      <c r="AL418" s="7">
        <f t="shared" si="115"/>
        <v>5.8830198410666057E-2</v>
      </c>
      <c r="AM418" s="7">
        <f t="shared" si="116"/>
        <v>1.0370299502348568</v>
      </c>
    </row>
    <row r="419" spans="10:39" x14ac:dyDescent="0.25">
      <c r="J419" s="3">
        <v>413</v>
      </c>
      <c r="K419" s="7">
        <v>0.59852272941124074</v>
      </c>
      <c r="L419" s="7">
        <f t="shared" si="106"/>
        <v>0.43575089634920278</v>
      </c>
      <c r="M419" s="7">
        <f t="shared" ca="1" si="101"/>
        <v>0.32248474803834137</v>
      </c>
      <c r="N419" s="7">
        <f t="shared" si="102"/>
        <v>0.59852272941124074</v>
      </c>
      <c r="O419" s="7">
        <v>0.79451287337340082</v>
      </c>
      <c r="P419" s="7">
        <f t="shared" si="103"/>
        <v>0.45965746824742704</v>
      </c>
      <c r="Q419" s="7">
        <f t="shared" si="107"/>
        <v>-0.33485540512597378</v>
      </c>
      <c r="R419" s="7">
        <f t="shared" si="104"/>
        <v>6.9531018561841407E-2</v>
      </c>
      <c r="S419" s="7">
        <f t="shared" si="108"/>
        <v>-5.7998548384924756E-2</v>
      </c>
      <c r="T419" s="7">
        <f t="shared" si="109"/>
        <v>1</v>
      </c>
      <c r="U419" s="7">
        <f t="shared" si="105"/>
        <v>1.044036056171268</v>
      </c>
      <c r="V419" s="7">
        <f t="shared" si="110"/>
        <v>2.3704702365797387E-2</v>
      </c>
      <c r="W419" s="7">
        <f t="shared" si="111"/>
        <v>0</v>
      </c>
      <c r="X419" s="8" t="s">
        <v>3</v>
      </c>
      <c r="Y419" s="7">
        <v>0.59852272941124074</v>
      </c>
      <c r="Z419" s="7">
        <v>0.45965746824742704</v>
      </c>
      <c r="AC419" s="7">
        <f t="shared" si="112"/>
        <v>0.39012644968558563</v>
      </c>
      <c r="AD419" s="7">
        <f t="shared" si="113"/>
        <v>0.58437858792384101</v>
      </c>
      <c r="AE419" s="6" t="s">
        <v>3</v>
      </c>
      <c r="AF419" s="6" t="s">
        <v>3</v>
      </c>
      <c r="AG419" s="6" t="s">
        <v>3</v>
      </c>
      <c r="AH419" s="6" t="s">
        <v>3</v>
      </c>
      <c r="AI419" s="6" t="s">
        <v>3</v>
      </c>
      <c r="AJ419" s="6" t="s">
        <v>3</v>
      </c>
      <c r="AK419" s="5">
        <f t="shared" si="114"/>
        <v>801.29580776576859</v>
      </c>
      <c r="AL419" s="7">
        <f t="shared" si="115"/>
        <v>6.9531018561841407E-2</v>
      </c>
      <c r="AM419" s="7">
        <f t="shared" si="116"/>
        <v>1.044036056171268</v>
      </c>
    </row>
    <row r="420" spans="10:39" x14ac:dyDescent="0.25">
      <c r="J420" s="3">
        <v>414</v>
      </c>
      <c r="K420" s="7">
        <v>0.6225213230705704</v>
      </c>
      <c r="L420" s="7">
        <f t="shared" si="106"/>
        <v>0.45343630033242616</v>
      </c>
      <c r="M420" s="7">
        <f t="shared" ca="1" si="101"/>
        <v>0.58666048058816611</v>
      </c>
      <c r="N420" s="7">
        <f t="shared" si="102"/>
        <v>0.6225213230705704</v>
      </c>
      <c r="O420" s="7">
        <v>9.2178652178470599E-2</v>
      </c>
      <c r="P420" s="7">
        <f t="shared" si="103"/>
        <v>0.47815939224055981</v>
      </c>
      <c r="Q420" s="7">
        <f t="shared" si="107"/>
        <v>0.38598074006208921</v>
      </c>
      <c r="R420" s="7">
        <f t="shared" si="104"/>
        <v>0.10112923408646246</v>
      </c>
      <c r="S420" s="7">
        <f t="shared" si="108"/>
        <v>8.2345353553525125E-3</v>
      </c>
      <c r="T420" s="7">
        <f t="shared" si="109"/>
        <v>0</v>
      </c>
      <c r="U420" s="7">
        <f t="shared" si="105"/>
        <v>1.0584909417101851</v>
      </c>
      <c r="V420" s="7">
        <f t="shared" si="110"/>
        <v>9.1799667505512869E-2</v>
      </c>
      <c r="W420" s="7">
        <f t="shared" si="111"/>
        <v>0</v>
      </c>
      <c r="X420" s="8" t="s">
        <v>3</v>
      </c>
      <c r="Y420" s="7">
        <v>0.6225213230705704</v>
      </c>
      <c r="Z420" s="7">
        <v>0.47815939224055981</v>
      </c>
      <c r="AC420" s="7">
        <f t="shared" si="112"/>
        <v>0.37703015815409735</v>
      </c>
      <c r="AD420" s="7">
        <f t="shared" si="113"/>
        <v>0.58033154946962529</v>
      </c>
      <c r="AE420" s="6" t="s">
        <v>3</v>
      </c>
      <c r="AF420" s="6" t="s">
        <v>3</v>
      </c>
      <c r="AG420" s="6" t="s">
        <v>3</v>
      </c>
      <c r="AH420" s="6" t="s">
        <v>3</v>
      </c>
      <c r="AI420" s="6" t="s">
        <v>3</v>
      </c>
      <c r="AJ420" s="6" t="s">
        <v>3</v>
      </c>
      <c r="AK420" s="5">
        <f t="shared" si="114"/>
        <v>813.35813815496488</v>
      </c>
      <c r="AL420" s="7">
        <f t="shared" si="115"/>
        <v>0.10112923408646246</v>
      </c>
      <c r="AM420" s="7">
        <f t="shared" si="116"/>
        <v>1.0584909417101851</v>
      </c>
    </row>
    <row r="421" spans="10:39" x14ac:dyDescent="0.25">
      <c r="J421" s="3">
        <v>415</v>
      </c>
      <c r="K421" s="7">
        <v>0.62325590660328722</v>
      </c>
      <c r="L421" s="7">
        <f t="shared" si="106"/>
        <v>0.45388638750580468</v>
      </c>
      <c r="M421" s="7">
        <f t="shared" ca="1" si="101"/>
        <v>0.54660815375371286</v>
      </c>
      <c r="N421" s="7">
        <f t="shared" si="102"/>
        <v>0.62325590660328722</v>
      </c>
      <c r="O421" s="7">
        <v>0.3411751864310848</v>
      </c>
      <c r="P421" s="7">
        <f t="shared" si="103"/>
        <v>0.47859370579567573</v>
      </c>
      <c r="Q421" s="7">
        <f t="shared" si="107"/>
        <v>0.13741851936459093</v>
      </c>
      <c r="R421" s="7">
        <f t="shared" si="104"/>
        <v>0.10185133388389289</v>
      </c>
      <c r="S421" s="7">
        <f t="shared" si="108"/>
        <v>-1.9145908203775354E-2</v>
      </c>
      <c r="T421" s="7">
        <f t="shared" si="109"/>
        <v>1</v>
      </c>
      <c r="U421" s="7">
        <f t="shared" si="105"/>
        <v>1.0586368912098811</v>
      </c>
      <c r="V421" s="7">
        <f t="shared" si="110"/>
        <v>6.8158861953985656E-2</v>
      </c>
      <c r="W421" s="7">
        <f t="shared" si="111"/>
        <v>0</v>
      </c>
      <c r="X421" s="8" t="s">
        <v>3</v>
      </c>
      <c r="Y421" s="7">
        <v>0.62325590660328722</v>
      </c>
      <c r="Z421" s="7">
        <v>0.47859370579567573</v>
      </c>
      <c r="AC421" s="7">
        <f t="shared" si="112"/>
        <v>0.37674237191178284</v>
      </c>
      <c r="AD421" s="7">
        <f t="shared" si="113"/>
        <v>0.58004318541420541</v>
      </c>
      <c r="AE421" s="6" t="s">
        <v>3</v>
      </c>
      <c r="AF421" s="6" t="s">
        <v>3</v>
      </c>
      <c r="AG421" s="6" t="s">
        <v>3</v>
      </c>
      <c r="AH421" s="6" t="s">
        <v>3</v>
      </c>
      <c r="AI421" s="6" t="s">
        <v>3</v>
      </c>
      <c r="AJ421" s="6" t="s">
        <v>3</v>
      </c>
      <c r="AK421" s="5">
        <f t="shared" si="114"/>
        <v>813.72735934333423</v>
      </c>
      <c r="AL421" s="7">
        <f t="shared" si="115"/>
        <v>0.10185133388389289</v>
      </c>
      <c r="AM421" s="7">
        <f t="shared" si="116"/>
        <v>1.0586368912098811</v>
      </c>
    </row>
    <row r="422" spans="10:39" x14ac:dyDescent="0.25">
      <c r="J422" s="3">
        <v>416</v>
      </c>
      <c r="K422" s="7">
        <v>0.62547439468750121</v>
      </c>
      <c r="L422" s="7">
        <f t="shared" si="106"/>
        <v>0.45521086299195207</v>
      </c>
      <c r="M422" s="7">
        <f t="shared" ca="1" si="101"/>
        <v>0.40748016126486991</v>
      </c>
      <c r="N422" s="7">
        <f t="shared" si="102"/>
        <v>0.62547439468750121</v>
      </c>
      <c r="O422" s="7">
        <v>0.50334353904272933</v>
      </c>
      <c r="P422" s="7">
        <f t="shared" si="103"/>
        <v>0.4798555821531898</v>
      </c>
      <c r="Q422" s="7">
        <f t="shared" si="107"/>
        <v>-2.348795688953953E-2</v>
      </c>
      <c r="R422" s="7">
        <f t="shared" si="104"/>
        <v>0.10393491324474358</v>
      </c>
      <c r="S422" s="7">
        <f t="shared" si="108"/>
        <v>-3.1952690063838864E-2</v>
      </c>
      <c r="T422" s="7">
        <f t="shared" si="109"/>
        <v>1</v>
      </c>
      <c r="U422" s="7">
        <f t="shared" si="105"/>
        <v>1.0589712172322276</v>
      </c>
      <c r="V422" s="7">
        <f t="shared" si="110"/>
        <v>5.2784629428002341E-2</v>
      </c>
      <c r="W422" s="7">
        <f t="shared" si="111"/>
        <v>0</v>
      </c>
      <c r="X422" s="8" t="s">
        <v>3</v>
      </c>
      <c r="Y422" s="7">
        <v>0.62547439468750121</v>
      </c>
      <c r="Z422" s="7">
        <v>0.4798555821531898</v>
      </c>
      <c r="AC422" s="7">
        <f t="shared" si="112"/>
        <v>0.37592066890844622</v>
      </c>
      <c r="AD422" s="7">
        <f t="shared" si="113"/>
        <v>0.57911563507903785</v>
      </c>
      <c r="AE422" s="6" t="s">
        <v>3</v>
      </c>
      <c r="AF422" s="6" t="s">
        <v>3</v>
      </c>
      <c r="AG422" s="6" t="s">
        <v>3</v>
      </c>
      <c r="AH422" s="6" t="s">
        <v>3</v>
      </c>
      <c r="AI422" s="6" t="s">
        <v>3</v>
      </c>
      <c r="AJ422" s="6" t="s">
        <v>3</v>
      </c>
      <c r="AK422" s="5">
        <f t="shared" si="114"/>
        <v>814.84243036025111</v>
      </c>
      <c r="AL422" s="7">
        <f t="shared" si="115"/>
        <v>0.10393491324474358</v>
      </c>
      <c r="AM422" s="7">
        <f t="shared" si="116"/>
        <v>1.0589712172322276</v>
      </c>
    </row>
    <row r="423" spans="10:39" x14ac:dyDescent="0.25">
      <c r="J423" s="3">
        <v>417</v>
      </c>
      <c r="K423" s="7">
        <v>0.64031319742721582</v>
      </c>
      <c r="L423" s="7">
        <f t="shared" si="106"/>
        <v>0.4626783177054386</v>
      </c>
      <c r="M423" s="7">
        <f t="shared" ca="1" si="101"/>
        <v>0.43734513697417388</v>
      </c>
      <c r="N423" s="7">
        <f t="shared" si="102"/>
        <v>0.64031319742721582</v>
      </c>
      <c r="O423" s="7">
        <v>7.6683197695103622E-2</v>
      </c>
      <c r="P423" s="7">
        <f t="shared" si="103"/>
        <v>0.48632899417284747</v>
      </c>
      <c r="Q423" s="7">
        <f t="shared" si="107"/>
        <v>0.40964579647774385</v>
      </c>
      <c r="R423" s="7">
        <f t="shared" si="104"/>
        <v>0.11394361801172703</v>
      </c>
      <c r="S423" s="7">
        <f t="shared" si="108"/>
        <v>3.4279586691293537E-2</v>
      </c>
      <c r="T423" s="7">
        <f t="shared" si="109"/>
        <v>0</v>
      </c>
      <c r="U423" s="7">
        <f t="shared" si="105"/>
        <v>1.0571406168404798</v>
      </c>
      <c r="V423" s="7">
        <f t="shared" si="110"/>
        <v>9.3143454818810728E-2</v>
      </c>
      <c r="W423" s="7">
        <f t="shared" si="111"/>
        <v>0</v>
      </c>
      <c r="X423" s="8" t="s">
        <v>3</v>
      </c>
      <c r="Y423" s="7">
        <v>0.64031319742721582</v>
      </c>
      <c r="Z423" s="7">
        <v>0.48632899417284747</v>
      </c>
      <c r="AC423" s="7">
        <f t="shared" si="112"/>
        <v>0.37238537616112044</v>
      </c>
      <c r="AD423" s="7">
        <f t="shared" si="113"/>
        <v>0.5708116226676323</v>
      </c>
      <c r="AE423" s="6" t="s">
        <v>3</v>
      </c>
      <c r="AF423" s="6" t="s">
        <v>3</v>
      </c>
      <c r="AG423" s="6" t="s">
        <v>3</v>
      </c>
      <c r="AH423" s="6" t="s">
        <v>3</v>
      </c>
      <c r="AI423" s="6" t="s">
        <v>3</v>
      </c>
      <c r="AJ423" s="6" t="s">
        <v>3</v>
      </c>
      <c r="AK423" s="5">
        <f t="shared" si="114"/>
        <v>822.3008066204352</v>
      </c>
      <c r="AL423" s="7">
        <f t="shared" si="115"/>
        <v>0.11394361801172703</v>
      </c>
      <c r="AM423" s="7">
        <f t="shared" si="116"/>
        <v>1.0571406168404798</v>
      </c>
    </row>
    <row r="424" spans="10:39" x14ac:dyDescent="0.25">
      <c r="J424" s="3">
        <v>418</v>
      </c>
      <c r="K424" s="7">
        <v>0.64708376421736347</v>
      </c>
      <c r="L424" s="7">
        <f t="shared" si="106"/>
        <v>0.46524639109521604</v>
      </c>
      <c r="M424" s="7">
        <f t="shared" ca="1" si="101"/>
        <v>0.50988276128834387</v>
      </c>
      <c r="N424" s="7">
        <f t="shared" si="102"/>
        <v>0.64708376421736347</v>
      </c>
      <c r="O424" s="7">
        <v>0.37999984350607041</v>
      </c>
      <c r="P424" s="7">
        <f t="shared" si="103"/>
        <v>0.4881174600942404</v>
      </c>
      <c r="Q424" s="7">
        <f t="shared" si="107"/>
        <v>0.10811761658816998</v>
      </c>
      <c r="R424" s="7">
        <f t="shared" si="104"/>
        <v>0.11613436951354128</v>
      </c>
      <c r="S424" s="7">
        <f t="shared" si="108"/>
        <v>-2.1109237919402331E-2</v>
      </c>
      <c r="T424" s="7">
        <f t="shared" si="109"/>
        <v>1</v>
      </c>
      <c r="U424" s="7">
        <f t="shared" si="105"/>
        <v>1.0540043517623106</v>
      </c>
      <c r="V424" s="7">
        <f t="shared" si="110"/>
        <v>6.4030428284342814E-2</v>
      </c>
      <c r="W424" s="7">
        <f t="shared" si="111"/>
        <v>0</v>
      </c>
      <c r="X424" s="8" t="s">
        <v>3</v>
      </c>
      <c r="Y424" s="7">
        <v>0.64708376421736347</v>
      </c>
      <c r="Z424" s="7">
        <v>0.4881174600942404</v>
      </c>
      <c r="AC424" s="7">
        <f t="shared" si="112"/>
        <v>0.37198309058069912</v>
      </c>
      <c r="AD424" s="7">
        <f t="shared" si="113"/>
        <v>0.56588689166807016</v>
      </c>
      <c r="AE424" s="6" t="s">
        <v>3</v>
      </c>
      <c r="AF424" s="6" t="s">
        <v>3</v>
      </c>
      <c r="AG424" s="6" t="s">
        <v>3</v>
      </c>
      <c r="AH424" s="6" t="s">
        <v>3</v>
      </c>
      <c r="AI424" s="6" t="s">
        <v>3</v>
      </c>
      <c r="AJ424" s="6" t="s">
        <v>3</v>
      </c>
      <c r="AK424" s="5">
        <f t="shared" si="114"/>
        <v>825.70387326276443</v>
      </c>
      <c r="AL424" s="7">
        <f t="shared" si="115"/>
        <v>0.11613436951354128</v>
      </c>
      <c r="AM424" s="7">
        <f t="shared" si="116"/>
        <v>1.0540043517623106</v>
      </c>
    </row>
    <row r="425" spans="10:39" x14ac:dyDescent="0.25">
      <c r="J425" s="3">
        <v>419</v>
      </c>
      <c r="K425" s="7">
        <v>0.65523358098070816</v>
      </c>
      <c r="L425" s="7">
        <f t="shared" si="106"/>
        <v>0.46760593213191076</v>
      </c>
      <c r="M425" s="7">
        <f t="shared" ca="1" si="101"/>
        <v>0.20221090796275853</v>
      </c>
      <c r="N425" s="7">
        <f t="shared" si="102"/>
        <v>0.65523358098070816</v>
      </c>
      <c r="O425" s="7">
        <v>0.14193949671904865</v>
      </c>
      <c r="P425" s="7">
        <f t="shared" si="103"/>
        <v>0.48928037242977673</v>
      </c>
      <c r="Q425" s="7">
        <f t="shared" si="107"/>
        <v>0.34734087571072808</v>
      </c>
      <c r="R425" s="7">
        <f t="shared" si="104"/>
        <v>0.11672683844560172</v>
      </c>
      <c r="S425" s="7">
        <f t="shared" si="108"/>
        <v>-2.0170126618757546E-3</v>
      </c>
      <c r="T425" s="7">
        <f t="shared" si="109"/>
        <v>1</v>
      </c>
      <c r="U425" s="7">
        <f t="shared" si="105"/>
        <v>1.048386393885125</v>
      </c>
      <c r="V425" s="7">
        <f t="shared" si="110"/>
        <v>8.6112455230777263E-2</v>
      </c>
      <c r="W425" s="7">
        <f t="shared" si="111"/>
        <v>0</v>
      </c>
      <c r="X425" s="8" t="s">
        <v>3</v>
      </c>
      <c r="Y425" s="7">
        <v>0.65523358098070816</v>
      </c>
      <c r="Z425" s="7">
        <v>0.48928037242977673</v>
      </c>
      <c r="AC425" s="7">
        <f t="shared" si="112"/>
        <v>0.37255353398417501</v>
      </c>
      <c r="AD425" s="7">
        <f t="shared" si="113"/>
        <v>0.55910602145534827</v>
      </c>
      <c r="AE425" s="6" t="s">
        <v>3</v>
      </c>
      <c r="AF425" s="6" t="s">
        <v>3</v>
      </c>
      <c r="AG425" s="6" t="s">
        <v>3</v>
      </c>
      <c r="AH425" s="6" t="s">
        <v>3</v>
      </c>
      <c r="AI425" s="6" t="s">
        <v>3</v>
      </c>
      <c r="AJ425" s="6" t="s">
        <v>3</v>
      </c>
      <c r="AK425" s="5">
        <f t="shared" si="114"/>
        <v>829.80018756377581</v>
      </c>
      <c r="AL425" s="7">
        <f t="shared" si="115"/>
        <v>0.11672683844560172</v>
      </c>
      <c r="AM425" s="7">
        <f t="shared" si="116"/>
        <v>1.048386393885125</v>
      </c>
    </row>
    <row r="426" spans="10:39" x14ac:dyDescent="0.25">
      <c r="J426" s="3">
        <v>420</v>
      </c>
      <c r="K426" s="7">
        <v>0.65580637647983053</v>
      </c>
      <c r="L426" s="7">
        <f t="shared" si="106"/>
        <v>0.46774101201829776</v>
      </c>
      <c r="M426" s="7">
        <f t="shared" ca="1" si="101"/>
        <v>0.33847668053454671</v>
      </c>
      <c r="N426" s="7">
        <f t="shared" si="102"/>
        <v>0.65580637647983053</v>
      </c>
      <c r="O426" s="7">
        <v>5.1792372974918732E-2</v>
      </c>
      <c r="P426" s="7">
        <f t="shared" si="103"/>
        <v>0.48932113548705924</v>
      </c>
      <c r="Q426" s="7">
        <f t="shared" si="107"/>
        <v>0.43752876251214051</v>
      </c>
      <c r="R426" s="7">
        <f t="shared" si="104"/>
        <v>0.11668381549664097</v>
      </c>
      <c r="S426" s="7">
        <f t="shared" si="108"/>
        <v>5.9700127119984465E-2</v>
      </c>
      <c r="T426" s="7">
        <f t="shared" si="109"/>
        <v>0</v>
      </c>
      <c r="U426" s="7">
        <f t="shared" si="105"/>
        <v>1.0479176528936678</v>
      </c>
      <c r="V426" s="7">
        <f t="shared" si="110"/>
        <v>9.4631901592281159E-2</v>
      </c>
      <c r="W426" s="7">
        <f t="shared" si="111"/>
        <v>0</v>
      </c>
      <c r="X426" s="8" t="s">
        <v>3</v>
      </c>
      <c r="Y426" s="7">
        <v>0.65580637647983053</v>
      </c>
      <c r="Z426" s="7">
        <v>0.48932113548705924</v>
      </c>
      <c r="AC426" s="7">
        <f t="shared" si="112"/>
        <v>0.37263731999041827</v>
      </c>
      <c r="AD426" s="7">
        <f t="shared" si="113"/>
        <v>0.55859651740660854</v>
      </c>
      <c r="AE426" s="6" t="s">
        <v>3</v>
      </c>
      <c r="AF426" s="6" t="s">
        <v>3</v>
      </c>
      <c r="AG426" s="6" t="s">
        <v>3</v>
      </c>
      <c r="AH426" s="6" t="s">
        <v>3</v>
      </c>
      <c r="AI426" s="6" t="s">
        <v>3</v>
      </c>
      <c r="AJ426" s="6" t="s">
        <v>3</v>
      </c>
      <c r="AK426" s="5">
        <f t="shared" si="114"/>
        <v>830.08808979062871</v>
      </c>
      <c r="AL426" s="7">
        <f t="shared" si="115"/>
        <v>0.11668381549664097</v>
      </c>
      <c r="AM426" s="7">
        <f t="shared" si="116"/>
        <v>1.0479176528936678</v>
      </c>
    </row>
    <row r="427" spans="10:39" x14ac:dyDescent="0.25">
      <c r="J427" s="3">
        <v>421</v>
      </c>
      <c r="K427" s="7">
        <v>0.66290413953856442</v>
      </c>
      <c r="L427" s="7">
        <f t="shared" si="106"/>
        <v>0.46907235774922967</v>
      </c>
      <c r="M427" s="7">
        <f t="shared" ca="1" si="101"/>
        <v>0.46164968818443342</v>
      </c>
      <c r="N427" s="7">
        <f t="shared" si="102"/>
        <v>0.66290413953856442</v>
      </c>
      <c r="O427" s="7">
        <v>0.61858644921635442</v>
      </c>
      <c r="P427" s="7">
        <f t="shared" si="103"/>
        <v>0.48937785598672345</v>
      </c>
      <c r="Q427" s="7">
        <f t="shared" si="107"/>
        <v>-0.12920859322963096</v>
      </c>
      <c r="R427" s="7">
        <f t="shared" si="104"/>
        <v>0.11522794231556599</v>
      </c>
      <c r="S427" s="7">
        <f t="shared" si="108"/>
        <v>-4.0268680552063077E-2</v>
      </c>
      <c r="T427" s="7">
        <f t="shared" si="109"/>
        <v>1</v>
      </c>
      <c r="U427" s="7">
        <f t="shared" si="105"/>
        <v>1.0413268728153351</v>
      </c>
      <c r="V427" s="7">
        <f t="shared" si="110"/>
        <v>4.0160340241903167E-2</v>
      </c>
      <c r="W427" s="7">
        <f t="shared" si="111"/>
        <v>0</v>
      </c>
      <c r="X427" s="8" t="s">
        <v>3</v>
      </c>
      <c r="Y427" s="7">
        <v>0.66290413953856442</v>
      </c>
      <c r="Z427" s="7">
        <v>0.48937785598672345</v>
      </c>
      <c r="AC427" s="7">
        <f t="shared" si="112"/>
        <v>0.37414991367115746</v>
      </c>
      <c r="AD427" s="7">
        <f t="shared" si="113"/>
        <v>0.55194901682861164</v>
      </c>
      <c r="AE427" s="6" t="s">
        <v>3</v>
      </c>
      <c r="AF427" s="6" t="s">
        <v>3</v>
      </c>
      <c r="AG427" s="6" t="s">
        <v>3</v>
      </c>
      <c r="AH427" s="6" t="s">
        <v>3</v>
      </c>
      <c r="AI427" s="6" t="s">
        <v>3</v>
      </c>
      <c r="AJ427" s="6" t="s">
        <v>3</v>
      </c>
      <c r="AK427" s="5">
        <f t="shared" si="114"/>
        <v>833.65561396533792</v>
      </c>
      <c r="AL427" s="7">
        <f t="shared" si="115"/>
        <v>0.11522794231556599</v>
      </c>
      <c r="AM427" s="7">
        <f t="shared" si="116"/>
        <v>1.0413268728153351</v>
      </c>
    </row>
    <row r="428" spans="10:39" x14ac:dyDescent="0.25">
      <c r="J428" s="3">
        <v>422</v>
      </c>
      <c r="K428" s="7">
        <v>0.66593246857349286</v>
      </c>
      <c r="L428" s="7">
        <f t="shared" si="106"/>
        <v>0.46944481210902711</v>
      </c>
      <c r="M428" s="7">
        <f t="shared" ca="1" si="101"/>
        <v>0.56792881913989757</v>
      </c>
      <c r="N428" s="7">
        <f t="shared" si="102"/>
        <v>0.66593246857349286</v>
      </c>
      <c r="O428" s="7">
        <v>0.61333066372195355</v>
      </c>
      <c r="P428" s="7">
        <f t="shared" si="103"/>
        <v>0.48914919635424203</v>
      </c>
      <c r="Q428" s="7">
        <f t="shared" si="107"/>
        <v>-0.12418146736771152</v>
      </c>
      <c r="R428" s="7">
        <f t="shared" si="104"/>
        <v>0.11408923067099863</v>
      </c>
      <c r="S428" s="7">
        <f t="shared" si="108"/>
        <v>-3.9939314644076393E-2</v>
      </c>
      <c r="T428" s="7">
        <f t="shared" si="109"/>
        <v>1</v>
      </c>
      <c r="U428" s="7">
        <f t="shared" si="105"/>
        <v>1.0380835811729294</v>
      </c>
      <c r="V428" s="7">
        <f t="shared" si="110"/>
        <v>4.0351527157842709E-2</v>
      </c>
      <c r="W428" s="7">
        <f t="shared" si="111"/>
        <v>0</v>
      </c>
      <c r="X428" s="8" t="s">
        <v>3</v>
      </c>
      <c r="Y428" s="7">
        <v>0.66593246857349286</v>
      </c>
      <c r="Z428" s="7">
        <v>0.48914919635424203</v>
      </c>
      <c r="AC428" s="7">
        <f t="shared" si="112"/>
        <v>0.3750599656832434</v>
      </c>
      <c r="AD428" s="7">
        <f t="shared" si="113"/>
        <v>0.54893438481868739</v>
      </c>
      <c r="AE428" s="6" t="s">
        <v>3</v>
      </c>
      <c r="AF428" s="6" t="s">
        <v>3</v>
      </c>
      <c r="AG428" s="6" t="s">
        <v>3</v>
      </c>
      <c r="AH428" s="6" t="s">
        <v>3</v>
      </c>
      <c r="AI428" s="6" t="s">
        <v>3</v>
      </c>
      <c r="AJ428" s="6" t="s">
        <v>3</v>
      </c>
      <c r="AK428" s="5">
        <f t="shared" si="114"/>
        <v>835.17773254716155</v>
      </c>
      <c r="AL428" s="7">
        <f t="shared" si="115"/>
        <v>0.11408923067099863</v>
      </c>
      <c r="AM428" s="7">
        <f t="shared" si="116"/>
        <v>1.0380835811729294</v>
      </c>
    </row>
    <row r="429" spans="10:39" x14ac:dyDescent="0.25">
      <c r="J429" s="3">
        <v>423</v>
      </c>
      <c r="K429" s="7">
        <v>0.6843632574204197</v>
      </c>
      <c r="L429" s="7">
        <f t="shared" si="106"/>
        <v>0.46910432360633575</v>
      </c>
      <c r="M429" s="7">
        <f t="shared" ca="1" si="101"/>
        <v>0.25773555255152586</v>
      </c>
      <c r="N429" s="7">
        <f t="shared" si="102"/>
        <v>0.6843632574204197</v>
      </c>
      <c r="O429" s="7">
        <v>0.53422257628373604</v>
      </c>
      <c r="P429" s="7">
        <f t="shared" si="103"/>
        <v>0.48450882021476049</v>
      </c>
      <c r="Q429" s="7">
        <f t="shared" si="107"/>
        <v>-4.9713756068975545E-2</v>
      </c>
      <c r="R429" s="7">
        <f t="shared" si="104"/>
        <v>0.10067631633543339</v>
      </c>
      <c r="S429" s="7">
        <f t="shared" si="108"/>
        <v>-3.4683700795864213E-2</v>
      </c>
      <c r="T429" s="7">
        <f t="shared" si="109"/>
        <v>1</v>
      </c>
      <c r="U429" s="7">
        <f t="shared" si="105"/>
        <v>1.0131396615440769</v>
      </c>
      <c r="V429" s="7">
        <f t="shared" si="110"/>
        <v>4.5497123099732376E-2</v>
      </c>
      <c r="W429" s="7">
        <f t="shared" si="111"/>
        <v>0</v>
      </c>
      <c r="X429" s="8" t="s">
        <v>3</v>
      </c>
      <c r="Y429" s="7">
        <v>0.6843632574204197</v>
      </c>
      <c r="Z429" s="7">
        <v>0.48450882021476049</v>
      </c>
      <c r="AC429" s="7">
        <f t="shared" si="112"/>
        <v>0.3838325038793271</v>
      </c>
      <c r="AD429" s="7">
        <f t="shared" si="113"/>
        <v>0.52863084132931637</v>
      </c>
      <c r="AE429" s="6" t="s">
        <v>3</v>
      </c>
      <c r="AF429" s="6" t="s">
        <v>3</v>
      </c>
      <c r="AG429" s="6" t="s">
        <v>3</v>
      </c>
      <c r="AH429" s="6" t="s">
        <v>3</v>
      </c>
      <c r="AI429" s="6" t="s">
        <v>3</v>
      </c>
      <c r="AJ429" s="6" t="s">
        <v>3</v>
      </c>
      <c r="AK429" s="5">
        <f t="shared" si="114"/>
        <v>844.44153640004765</v>
      </c>
      <c r="AL429" s="7">
        <f t="shared" si="115"/>
        <v>0.10067631633543339</v>
      </c>
      <c r="AM429" s="7">
        <f t="shared" si="116"/>
        <v>1.0131396615440769</v>
      </c>
    </row>
    <row r="430" spans="10:39" x14ac:dyDescent="0.25">
      <c r="J430" s="3">
        <v>424</v>
      </c>
      <c r="K430" s="7">
        <v>0.68880155061736859</v>
      </c>
      <c r="L430" s="7">
        <f t="shared" si="106"/>
        <v>0.46833552059492806</v>
      </c>
      <c r="M430" s="7">
        <f t="shared" ca="1" si="101"/>
        <v>0.51027906849005888</v>
      </c>
      <c r="N430" s="7">
        <f t="shared" si="102"/>
        <v>0.68880155061736859</v>
      </c>
      <c r="O430" s="7">
        <v>0.37044287555126443</v>
      </c>
      <c r="P430" s="7">
        <f t="shared" si="103"/>
        <v>0.48256660802669327</v>
      </c>
      <c r="Q430" s="7">
        <f t="shared" si="107"/>
        <v>0.11212373247542884</v>
      </c>
      <c r="R430" s="7">
        <f t="shared" si="104"/>
        <v>9.5857175561452124E-2</v>
      </c>
      <c r="S430" s="7">
        <f t="shared" si="108"/>
        <v>-2.1966855999184985E-2</v>
      </c>
      <c r="T430" s="7">
        <f t="shared" si="109"/>
        <v>1</v>
      </c>
      <c r="U430" s="7">
        <f t="shared" si="105"/>
        <v>1.0058880493281326</v>
      </c>
      <c r="V430" s="7">
        <f t="shared" si="110"/>
        <v>6.0367291508802476E-2</v>
      </c>
      <c r="W430" s="7">
        <f t="shared" si="111"/>
        <v>0</v>
      </c>
      <c r="X430" s="8" t="s">
        <v>3</v>
      </c>
      <c r="Y430" s="7">
        <v>0.68880155061736859</v>
      </c>
      <c r="Z430" s="7">
        <v>0.48256660802669327</v>
      </c>
      <c r="AC430" s="7">
        <f t="shared" si="112"/>
        <v>0.38670943246524114</v>
      </c>
      <c r="AD430" s="7">
        <f t="shared" si="113"/>
        <v>0.52332144130143932</v>
      </c>
      <c r="AE430" s="6" t="s">
        <v>3</v>
      </c>
      <c r="AF430" s="6" t="s">
        <v>3</v>
      </c>
      <c r="AG430" s="6" t="s">
        <v>3</v>
      </c>
      <c r="AH430" s="6" t="s">
        <v>3</v>
      </c>
      <c r="AI430" s="6" t="s">
        <v>3</v>
      </c>
      <c r="AJ430" s="6" t="s">
        <v>3</v>
      </c>
      <c r="AK430" s="5">
        <f t="shared" si="114"/>
        <v>846.67234040738606</v>
      </c>
      <c r="AL430" s="7">
        <f t="shared" si="115"/>
        <v>9.5857175561452124E-2</v>
      </c>
      <c r="AM430" s="7">
        <f t="shared" si="116"/>
        <v>1.0058880493281326</v>
      </c>
    </row>
    <row r="431" spans="10:39" x14ac:dyDescent="0.25">
      <c r="J431" s="3">
        <v>425</v>
      </c>
      <c r="K431" s="7">
        <v>0.68969504749298927</v>
      </c>
      <c r="L431" s="7">
        <f t="shared" si="106"/>
        <v>0.46814782707348662</v>
      </c>
      <c r="M431" s="7">
        <f t="shared" ca="1" si="101"/>
        <v>0.76585181750890596</v>
      </c>
      <c r="N431" s="7">
        <f t="shared" si="102"/>
        <v>0.68969504749298927</v>
      </c>
      <c r="O431" s="7">
        <v>0.48907765340041887</v>
      </c>
      <c r="P431" s="7">
        <f t="shared" si="103"/>
        <v>0.4821374926339268</v>
      </c>
      <c r="Q431" s="7">
        <f t="shared" si="107"/>
        <v>-6.940160766492065E-3</v>
      </c>
      <c r="R431" s="7">
        <f t="shared" si="104"/>
        <v>9.4816596289700961E-2</v>
      </c>
      <c r="S431" s="7">
        <f t="shared" si="108"/>
        <v>-3.1540884568857432E-2</v>
      </c>
      <c r="T431" s="7">
        <f t="shared" si="109"/>
        <v>1</v>
      </c>
      <c r="U431" s="7">
        <f t="shared" si="105"/>
        <v>1.0043738918136558</v>
      </c>
      <c r="V431" s="7">
        <f t="shared" si="110"/>
        <v>4.8953142649257507E-2</v>
      </c>
      <c r="W431" s="7">
        <f t="shared" si="111"/>
        <v>0</v>
      </c>
      <c r="X431" s="8" t="s">
        <v>3</v>
      </c>
      <c r="Y431" s="7">
        <v>0.68969504749298927</v>
      </c>
      <c r="Z431" s="7">
        <v>0.4821374926339268</v>
      </c>
      <c r="AC431" s="7">
        <f t="shared" si="112"/>
        <v>0.38732089634422584</v>
      </c>
      <c r="AD431" s="7">
        <f t="shared" si="113"/>
        <v>0.52223639917972897</v>
      </c>
      <c r="AE431" s="6" t="s">
        <v>3</v>
      </c>
      <c r="AF431" s="6" t="s">
        <v>3</v>
      </c>
      <c r="AG431" s="6" t="s">
        <v>3</v>
      </c>
      <c r="AH431" s="6" t="s">
        <v>3</v>
      </c>
      <c r="AI431" s="6" t="s">
        <v>3</v>
      </c>
      <c r="AJ431" s="6" t="s">
        <v>3</v>
      </c>
      <c r="AK431" s="5">
        <f t="shared" si="114"/>
        <v>847.12143566140151</v>
      </c>
      <c r="AL431" s="7">
        <f t="shared" si="115"/>
        <v>9.4816596289700961E-2</v>
      </c>
      <c r="AM431" s="7">
        <f t="shared" si="116"/>
        <v>1.0043738918136558</v>
      </c>
    </row>
    <row r="432" spans="10:39" x14ac:dyDescent="0.25">
      <c r="J432" s="3">
        <v>426</v>
      </c>
      <c r="K432" s="7">
        <v>0.69101889557314289</v>
      </c>
      <c r="L432" s="7">
        <f t="shared" si="106"/>
        <v>0.46784934043659288</v>
      </c>
      <c r="M432" s="7">
        <f t="shared" ca="1" si="101"/>
        <v>0.6690768484877011</v>
      </c>
      <c r="N432" s="7">
        <f t="shared" si="102"/>
        <v>0.69101889557314289</v>
      </c>
      <c r="O432" s="7">
        <v>0.39080730719058798</v>
      </c>
      <c r="P432" s="7">
        <f t="shared" si="103"/>
        <v>0.48147834221900654</v>
      </c>
      <c r="Q432" s="7">
        <f t="shared" si="107"/>
        <v>9.0671035028418556E-2</v>
      </c>
      <c r="R432" s="7">
        <f t="shared" si="104"/>
        <v>9.3232305129670401E-2</v>
      </c>
      <c r="S432" s="7">
        <f t="shared" si="108"/>
        <v>-2.3806000164873407E-2</v>
      </c>
      <c r="T432" s="7">
        <f t="shared" si="109"/>
        <v>1</v>
      </c>
      <c r="U432" s="7">
        <f t="shared" si="105"/>
        <v>1.0020977306028451</v>
      </c>
      <c r="V432" s="7">
        <f t="shared" si="110"/>
        <v>5.807259022416443E-2</v>
      </c>
      <c r="W432" s="7">
        <f t="shared" si="111"/>
        <v>0</v>
      </c>
      <c r="X432" s="8" t="s">
        <v>3</v>
      </c>
      <c r="Y432" s="7">
        <v>0.69101889557314289</v>
      </c>
      <c r="Z432" s="7">
        <v>0.48147834221900654</v>
      </c>
      <c r="AC432" s="7">
        <f t="shared" si="112"/>
        <v>0.38824603708933614</v>
      </c>
      <c r="AD432" s="7">
        <f t="shared" si="113"/>
        <v>0.52061938838383859</v>
      </c>
      <c r="AE432" s="6" t="s">
        <v>3</v>
      </c>
      <c r="AF432" s="6" t="s">
        <v>3</v>
      </c>
      <c r="AG432" s="6" t="s">
        <v>3</v>
      </c>
      <c r="AH432" s="6" t="s">
        <v>3</v>
      </c>
      <c r="AI432" s="6" t="s">
        <v>3</v>
      </c>
      <c r="AJ432" s="6" t="s">
        <v>3</v>
      </c>
      <c r="AK432" s="5">
        <f t="shared" si="114"/>
        <v>847.78683685759654</v>
      </c>
      <c r="AL432" s="7">
        <f t="shared" si="115"/>
        <v>9.3232305129670401E-2</v>
      </c>
      <c r="AM432" s="7">
        <f t="shared" si="116"/>
        <v>1.0020977306028451</v>
      </c>
    </row>
    <row r="433" spans="10:39" x14ac:dyDescent="0.25">
      <c r="J433" s="3">
        <v>427</v>
      </c>
      <c r="K433" s="7">
        <v>0.70431965978802835</v>
      </c>
      <c r="L433" s="7">
        <f t="shared" si="106"/>
        <v>0.46348466299226554</v>
      </c>
      <c r="M433" s="7">
        <f t="shared" ca="1" si="101"/>
        <v>0.34348300044929087</v>
      </c>
      <c r="N433" s="7">
        <f t="shared" si="102"/>
        <v>0.70431965978802835</v>
      </c>
      <c r="O433" s="7">
        <v>0.33708637664490915</v>
      </c>
      <c r="P433" s="7">
        <f t="shared" si="103"/>
        <v>0.47333314140886928</v>
      </c>
      <c r="Q433" s="7">
        <f t="shared" si="107"/>
        <v>0.13624676476396014</v>
      </c>
      <c r="R433" s="7">
        <f t="shared" si="104"/>
        <v>7.4647186342470029E-2</v>
      </c>
      <c r="S433" s="7">
        <f t="shared" si="108"/>
        <v>-2.0995135224195129E-2</v>
      </c>
      <c r="T433" s="7">
        <f t="shared" si="109"/>
        <v>1</v>
      </c>
      <c r="U433" s="7">
        <f t="shared" si="105"/>
        <v>0.97717897567016609</v>
      </c>
      <c r="V433" s="7">
        <f t="shared" si="110"/>
        <v>6.0808796907399411E-2</v>
      </c>
      <c r="W433" s="7">
        <f t="shared" si="111"/>
        <v>0</v>
      </c>
      <c r="X433" s="8" t="s">
        <v>3</v>
      </c>
      <c r="Y433" s="7">
        <v>0.70431965978802835</v>
      </c>
      <c r="Z433" s="7">
        <v>0.47333314140886928</v>
      </c>
      <c r="AC433" s="7">
        <f t="shared" si="112"/>
        <v>0.39868595506639926</v>
      </c>
      <c r="AD433" s="7">
        <f t="shared" si="113"/>
        <v>0.50384583426129681</v>
      </c>
      <c r="AE433" s="6" t="s">
        <v>3</v>
      </c>
      <c r="AF433" s="6" t="s">
        <v>3</v>
      </c>
      <c r="AG433" s="6" t="s">
        <v>3</v>
      </c>
      <c r="AH433" s="6" t="s">
        <v>3</v>
      </c>
      <c r="AI433" s="6" t="s">
        <v>3</v>
      </c>
      <c r="AJ433" s="6" t="s">
        <v>3</v>
      </c>
      <c r="AK433" s="5">
        <f t="shared" si="114"/>
        <v>854.47215411685909</v>
      </c>
      <c r="AL433" s="7">
        <f t="shared" si="115"/>
        <v>7.4647186342470029E-2</v>
      </c>
      <c r="AM433" s="7">
        <f t="shared" si="116"/>
        <v>0.97717897567016609</v>
      </c>
    </row>
    <row r="434" spans="10:39" x14ac:dyDescent="0.25">
      <c r="J434" s="3">
        <v>428</v>
      </c>
      <c r="K434" s="7">
        <v>0.70506759712568812</v>
      </c>
      <c r="L434" s="7">
        <f t="shared" si="106"/>
        <v>0.4631647484605248</v>
      </c>
      <c r="M434" s="7">
        <f t="shared" ca="1" si="101"/>
        <v>0.24455925977544396</v>
      </c>
      <c r="N434" s="7">
        <f t="shared" si="102"/>
        <v>0.70506759712568812</v>
      </c>
      <c r="O434" s="7">
        <v>0.3254777612710682</v>
      </c>
      <c r="P434" s="7">
        <f t="shared" si="103"/>
        <v>0.47279435395740066</v>
      </c>
      <c r="Q434" s="7">
        <f t="shared" si="107"/>
        <v>0.14731659268633246</v>
      </c>
      <c r="R434" s="7">
        <f t="shared" si="104"/>
        <v>7.3466645033336775E-2</v>
      </c>
      <c r="S434" s="7">
        <f t="shared" si="108"/>
        <v>-2.0160889299018516E-2</v>
      </c>
      <c r="T434" s="7">
        <f t="shared" si="109"/>
        <v>1</v>
      </c>
      <c r="U434" s="7">
        <f t="shared" si="105"/>
        <v>0.97567338236737977</v>
      </c>
      <c r="V434" s="7">
        <f t="shared" si="110"/>
        <v>6.1768584004149599E-2</v>
      </c>
      <c r="W434" s="7">
        <f t="shared" si="111"/>
        <v>0</v>
      </c>
      <c r="X434" s="8" t="s">
        <v>3</v>
      </c>
      <c r="Y434" s="7">
        <v>0.70506759712568812</v>
      </c>
      <c r="Z434" s="7">
        <v>0.47279435395740066</v>
      </c>
      <c r="AC434" s="7">
        <f t="shared" si="112"/>
        <v>0.39932770892406388</v>
      </c>
      <c r="AD434" s="7">
        <f t="shared" si="113"/>
        <v>0.50287902840997911</v>
      </c>
      <c r="AE434" s="6" t="s">
        <v>3</v>
      </c>
      <c r="AF434" s="6" t="s">
        <v>3</v>
      </c>
      <c r="AG434" s="6" t="s">
        <v>3</v>
      </c>
      <c r="AH434" s="6" t="s">
        <v>3</v>
      </c>
      <c r="AI434" s="6" t="s">
        <v>3</v>
      </c>
      <c r="AJ434" s="6" t="s">
        <v>3</v>
      </c>
      <c r="AK434" s="5">
        <f t="shared" si="114"/>
        <v>854.84808728216615</v>
      </c>
      <c r="AL434" s="7">
        <f t="shared" si="115"/>
        <v>7.3466645033336775E-2</v>
      </c>
      <c r="AM434" s="7">
        <f t="shared" si="116"/>
        <v>0.97567338236737977</v>
      </c>
    </row>
    <row r="435" spans="10:39" x14ac:dyDescent="0.25">
      <c r="J435" s="3">
        <v>429</v>
      </c>
      <c r="K435" s="7">
        <v>0.70912208999597826</v>
      </c>
      <c r="L435" s="7">
        <f t="shared" si="106"/>
        <v>0.46129119265362928</v>
      </c>
      <c r="M435" s="7">
        <f t="shared" ca="1" si="101"/>
        <v>0.62004635353331561</v>
      </c>
      <c r="N435" s="7">
        <f t="shared" si="102"/>
        <v>0.70912208999597826</v>
      </c>
      <c r="O435" s="7">
        <v>0.2287714834128789</v>
      </c>
      <c r="P435" s="7">
        <f t="shared" si="103"/>
        <v>0.46972765970387931</v>
      </c>
      <c r="Q435" s="7">
        <f t="shared" si="107"/>
        <v>0.24095617629100041</v>
      </c>
      <c r="R435" s="7">
        <f t="shared" si="104"/>
        <v>6.6836419494955557E-2</v>
      </c>
      <c r="S435" s="7">
        <f t="shared" si="108"/>
        <v>-1.2954805113433868E-2</v>
      </c>
      <c r="T435" s="7">
        <f t="shared" si="109"/>
        <v>1</v>
      </c>
      <c r="U435" s="7">
        <f t="shared" si="105"/>
        <v>0.96733251098933581</v>
      </c>
      <c r="V435" s="7">
        <f t="shared" si="110"/>
        <v>7.0163297619763407E-2</v>
      </c>
      <c r="W435" s="7">
        <f t="shared" si="111"/>
        <v>0</v>
      </c>
      <c r="X435" s="8" t="s">
        <v>3</v>
      </c>
      <c r="Y435" s="7">
        <v>0.70912208999597826</v>
      </c>
      <c r="Z435" s="7">
        <v>0.46972765970387931</v>
      </c>
      <c r="AC435" s="7">
        <f t="shared" si="112"/>
        <v>0.40289124020892375</v>
      </c>
      <c r="AD435" s="7">
        <f t="shared" si="113"/>
        <v>0.49760485128545651</v>
      </c>
      <c r="AE435" s="6" t="s">
        <v>3</v>
      </c>
      <c r="AF435" s="6" t="s">
        <v>3</v>
      </c>
      <c r="AG435" s="6" t="s">
        <v>3</v>
      </c>
      <c r="AH435" s="6" t="s">
        <v>3</v>
      </c>
      <c r="AI435" s="6" t="s">
        <v>3</v>
      </c>
      <c r="AJ435" s="6" t="s">
        <v>3</v>
      </c>
      <c r="AK435" s="5">
        <f t="shared" si="114"/>
        <v>856.88598305457379</v>
      </c>
      <c r="AL435" s="7">
        <f t="shared" si="115"/>
        <v>6.6836419494955557E-2</v>
      </c>
      <c r="AM435" s="7">
        <f t="shared" si="116"/>
        <v>0.96733251098933581</v>
      </c>
    </row>
    <row r="436" spans="10:39" x14ac:dyDescent="0.25">
      <c r="J436" s="3">
        <v>430</v>
      </c>
      <c r="K436" s="7">
        <v>0.71118400118181913</v>
      </c>
      <c r="L436" s="7">
        <f t="shared" si="106"/>
        <v>0.46024788433950325</v>
      </c>
      <c r="M436" s="7">
        <f t="shared" ca="1" si="101"/>
        <v>0.25451589813158548</v>
      </c>
      <c r="N436" s="7">
        <f t="shared" si="102"/>
        <v>0.71118400118181913</v>
      </c>
      <c r="O436" s="7">
        <v>0.65087707508234993</v>
      </c>
      <c r="P436" s="7">
        <f t="shared" si="103"/>
        <v>0.46807454856244224</v>
      </c>
      <c r="Q436" s="7">
        <f t="shared" si="107"/>
        <v>-0.18280252651990769</v>
      </c>
      <c r="R436" s="7">
        <f t="shared" si="104"/>
        <v>6.3320581348950356E-2</v>
      </c>
      <c r="S436" s="7">
        <f t="shared" si="108"/>
        <v>-4.7004519498671966E-2</v>
      </c>
      <c r="T436" s="7">
        <f t="shared" si="109"/>
        <v>1</v>
      </c>
      <c r="U436" s="7">
        <f t="shared" si="105"/>
        <v>0.96297821088610625</v>
      </c>
      <c r="V436" s="7">
        <f t="shared" si="110"/>
        <v>2.9649607901356852E-2</v>
      </c>
      <c r="W436" s="7">
        <f t="shared" si="111"/>
        <v>0</v>
      </c>
      <c r="X436" s="8" t="s">
        <v>3</v>
      </c>
      <c r="Y436" s="7">
        <v>0.71118400118181913</v>
      </c>
      <c r="Z436" s="7">
        <v>0.46807454856244224</v>
      </c>
      <c r="AC436" s="7">
        <f t="shared" si="112"/>
        <v>0.40475396721349188</v>
      </c>
      <c r="AD436" s="7">
        <f t="shared" si="113"/>
        <v>0.49490366232366401</v>
      </c>
      <c r="AE436" s="6" t="s">
        <v>3</v>
      </c>
      <c r="AF436" s="6" t="s">
        <v>3</v>
      </c>
      <c r="AG436" s="6" t="s">
        <v>3</v>
      </c>
      <c r="AH436" s="6" t="s">
        <v>3</v>
      </c>
      <c r="AI436" s="6" t="s">
        <v>3</v>
      </c>
      <c r="AJ436" s="6" t="s">
        <v>3</v>
      </c>
      <c r="AK436" s="5">
        <f t="shared" si="114"/>
        <v>857.92235436490364</v>
      </c>
      <c r="AL436" s="7">
        <f t="shared" si="115"/>
        <v>6.3320581348950356E-2</v>
      </c>
      <c r="AM436" s="7">
        <f t="shared" si="116"/>
        <v>0.96297821088610625</v>
      </c>
    </row>
    <row r="437" spans="10:39" x14ac:dyDescent="0.25">
      <c r="J437" s="3">
        <v>431</v>
      </c>
      <c r="K437" s="7">
        <v>0.71331548482144402</v>
      </c>
      <c r="L437" s="7">
        <f t="shared" si="106"/>
        <v>0.45910501779536972</v>
      </c>
      <c r="M437" s="7">
        <f t="shared" ca="1" si="101"/>
        <v>0.1225989284481237</v>
      </c>
      <c r="N437" s="7">
        <f t="shared" si="102"/>
        <v>0.71331548482144402</v>
      </c>
      <c r="O437" s="7">
        <v>0.5475564478204592</v>
      </c>
      <c r="P437" s="7">
        <f t="shared" si="103"/>
        <v>0.46630025578281353</v>
      </c>
      <c r="Q437" s="7">
        <f t="shared" si="107"/>
        <v>-8.1256192037645669E-2</v>
      </c>
      <c r="R437" s="7">
        <f t="shared" si="104"/>
        <v>5.9588683093172889E-2</v>
      </c>
      <c r="S437" s="7">
        <f t="shared" si="108"/>
        <v>-3.9037421178182909E-2</v>
      </c>
      <c r="T437" s="7">
        <f t="shared" si="109"/>
        <v>1</v>
      </c>
      <c r="U437" s="7">
        <f t="shared" si="105"/>
        <v>0.95840022231484778</v>
      </c>
      <c r="V437" s="7">
        <f t="shared" si="110"/>
        <v>3.9030158576966914E-2</v>
      </c>
      <c r="W437" s="7">
        <f t="shared" si="111"/>
        <v>0</v>
      </c>
      <c r="X437" s="8" t="s">
        <v>3</v>
      </c>
      <c r="Y437" s="7">
        <v>0.71331548482144402</v>
      </c>
      <c r="Z437" s="7">
        <v>0.46630025578281353</v>
      </c>
      <c r="AC437" s="7">
        <f t="shared" si="112"/>
        <v>0.40671157268964064</v>
      </c>
      <c r="AD437" s="7">
        <f t="shared" si="113"/>
        <v>0.49209996653203425</v>
      </c>
      <c r="AE437" s="6" t="s">
        <v>3</v>
      </c>
      <c r="AF437" s="6" t="s">
        <v>3</v>
      </c>
      <c r="AG437" s="6" t="s">
        <v>3</v>
      </c>
      <c r="AH437" s="6" t="s">
        <v>3</v>
      </c>
      <c r="AI437" s="6" t="s">
        <v>3</v>
      </c>
      <c r="AJ437" s="6" t="s">
        <v>3</v>
      </c>
      <c r="AK437" s="5">
        <f t="shared" si="114"/>
        <v>858.99369463780874</v>
      </c>
      <c r="AL437" s="7">
        <f t="shared" si="115"/>
        <v>5.9588683093172889E-2</v>
      </c>
      <c r="AM437" s="7">
        <f t="shared" si="116"/>
        <v>0.95840022231484778</v>
      </c>
    </row>
    <row r="438" spans="10:39" x14ac:dyDescent="0.25">
      <c r="J438" s="3">
        <v>432</v>
      </c>
      <c r="K438" s="7">
        <v>0.7139885112845219</v>
      </c>
      <c r="L438" s="7">
        <f t="shared" si="106"/>
        <v>0.45873053890347093</v>
      </c>
      <c r="M438" s="7">
        <f t="shared" ca="1" si="101"/>
        <v>0.31044851230791132</v>
      </c>
      <c r="N438" s="7">
        <f t="shared" si="102"/>
        <v>0.7139885112845219</v>
      </c>
      <c r="O438" s="7">
        <v>0.16287379312667444</v>
      </c>
      <c r="P438" s="7">
        <f t="shared" si="103"/>
        <v>0.46572631885131166</v>
      </c>
      <c r="Q438" s="7">
        <f t="shared" si="107"/>
        <v>0.30285252572463722</v>
      </c>
      <c r="R438" s="7">
        <f t="shared" si="104"/>
        <v>5.8390335669576743E-2</v>
      </c>
      <c r="S438" s="7">
        <f t="shared" si="108"/>
        <v>-8.3586765965678166E-3</v>
      </c>
      <c r="T438" s="7">
        <f t="shared" si="109"/>
        <v>1</v>
      </c>
      <c r="U438" s="7">
        <f t="shared" si="105"/>
        <v>0.95693886360401348</v>
      </c>
      <c r="V438" s="7">
        <f t="shared" si="110"/>
        <v>7.5436181695347215E-2</v>
      </c>
      <c r="W438" s="7">
        <f t="shared" si="111"/>
        <v>0</v>
      </c>
      <c r="X438" s="8" t="s">
        <v>3</v>
      </c>
      <c r="Y438" s="7">
        <v>0.7139885112845219</v>
      </c>
      <c r="Z438" s="7">
        <v>0.46572631885131166</v>
      </c>
      <c r="AC438" s="7">
        <f t="shared" si="112"/>
        <v>0.40733598318173492</v>
      </c>
      <c r="AD438" s="7">
        <f t="shared" si="113"/>
        <v>0.49121254475270182</v>
      </c>
      <c r="AE438" s="6" t="s">
        <v>3</v>
      </c>
      <c r="AF438" s="6" t="s">
        <v>3</v>
      </c>
      <c r="AG438" s="6" t="s">
        <v>3</v>
      </c>
      <c r="AH438" s="6" t="s">
        <v>3</v>
      </c>
      <c r="AI438" s="6" t="s">
        <v>3</v>
      </c>
      <c r="AJ438" s="6" t="s">
        <v>3</v>
      </c>
      <c r="AK438" s="5">
        <f t="shared" si="114"/>
        <v>859.33197560850056</v>
      </c>
      <c r="AL438" s="7">
        <f t="shared" si="115"/>
        <v>5.8390335669576743E-2</v>
      </c>
      <c r="AM438" s="7">
        <f t="shared" si="116"/>
        <v>0.95693886360401348</v>
      </c>
    </row>
    <row r="439" spans="10:39" x14ac:dyDescent="0.25">
      <c r="J439" s="3">
        <v>433</v>
      </c>
      <c r="K439" s="7">
        <v>0.71644222517241207</v>
      </c>
      <c r="L439" s="7">
        <f t="shared" si="106"/>
        <v>0.45730984317404733</v>
      </c>
      <c r="M439" s="7">
        <f t="shared" ca="1" si="101"/>
        <v>0.57857391952240989</v>
      </c>
      <c r="N439" s="7">
        <f t="shared" si="102"/>
        <v>0.71644222517241207</v>
      </c>
      <c r="O439" s="7">
        <v>0.77067668362823571</v>
      </c>
      <c r="P439" s="7">
        <f t="shared" si="103"/>
        <v>0.46357872433217207</v>
      </c>
      <c r="Q439" s="7">
        <f t="shared" si="107"/>
        <v>-0.30709795929606365</v>
      </c>
      <c r="R439" s="7">
        <f t="shared" si="104"/>
        <v>5.3942832973942423E-2</v>
      </c>
      <c r="S439" s="7">
        <f t="shared" si="108"/>
        <v>-5.7338708052343465E-2</v>
      </c>
      <c r="T439" s="7">
        <f t="shared" si="109"/>
        <v>1</v>
      </c>
      <c r="U439" s="7">
        <f t="shared" si="105"/>
        <v>0.9515483341853026</v>
      </c>
      <c r="V439" s="7">
        <f t="shared" si="110"/>
        <v>1.7182806802921353E-2</v>
      </c>
      <c r="W439" s="7">
        <f t="shared" si="111"/>
        <v>0</v>
      </c>
      <c r="X439" s="8" t="s">
        <v>3</v>
      </c>
      <c r="Y439" s="7">
        <v>0.71644222517241207</v>
      </c>
      <c r="Z439" s="7">
        <v>0.46357872433217207</v>
      </c>
      <c r="AC439" s="7">
        <f t="shared" si="112"/>
        <v>0.40963589135822964</v>
      </c>
      <c r="AD439" s="7">
        <f t="shared" si="113"/>
        <v>0.48796960985313054</v>
      </c>
      <c r="AE439" s="6" t="s">
        <v>3</v>
      </c>
      <c r="AF439" s="6" t="s">
        <v>3</v>
      </c>
      <c r="AG439" s="6" t="s">
        <v>3</v>
      </c>
      <c r="AH439" s="6" t="s">
        <v>3</v>
      </c>
      <c r="AI439" s="6" t="s">
        <v>3</v>
      </c>
      <c r="AJ439" s="6" t="s">
        <v>3</v>
      </c>
      <c r="AK439" s="5">
        <f t="shared" si="114"/>
        <v>860.5652773601131</v>
      </c>
      <c r="AL439" s="7">
        <f t="shared" si="115"/>
        <v>5.3942832973942423E-2</v>
      </c>
      <c r="AM439" s="7">
        <f t="shared" si="116"/>
        <v>0.9515483341853026</v>
      </c>
    </row>
    <row r="440" spans="10:39" x14ac:dyDescent="0.25">
      <c r="J440" s="3">
        <v>434</v>
      </c>
      <c r="K440" s="7">
        <v>0.72020423114995147</v>
      </c>
      <c r="L440" s="7">
        <f t="shared" si="106"/>
        <v>0.45496241241345919</v>
      </c>
      <c r="M440" s="7">
        <f t="shared" ca="1" si="101"/>
        <v>0.28990544353196473</v>
      </c>
      <c r="N440" s="7">
        <f t="shared" si="102"/>
        <v>0.72020423114995147</v>
      </c>
      <c r="O440" s="7">
        <v>1.093917935396489</v>
      </c>
      <c r="P440" s="7">
        <f t="shared" si="103"/>
        <v>0.46012017728858012</v>
      </c>
      <c r="Q440" s="7">
        <f t="shared" si="107"/>
        <v>-0.63379775810790884</v>
      </c>
      <c r="R440" s="7">
        <f t="shared" si="104"/>
        <v>4.6895208485416617E-2</v>
      </c>
      <c r="S440" s="7">
        <f t="shared" si="108"/>
        <v>-8.3761818152885789E-2</v>
      </c>
      <c r="T440" s="7">
        <f t="shared" si="109"/>
        <v>1</v>
      </c>
      <c r="U440" s="7">
        <f t="shared" si="105"/>
        <v>0.94309905792471693</v>
      </c>
      <c r="V440" s="7">
        <f t="shared" si="110"/>
        <v>-0.13649108411195368</v>
      </c>
      <c r="W440" s="7">
        <f t="shared" si="111"/>
        <v>1</v>
      </c>
      <c r="X440" s="8" t="s">
        <v>3</v>
      </c>
      <c r="Y440" s="7">
        <v>0.72020423114995147</v>
      </c>
      <c r="Z440" s="7">
        <v>0.46012017728858012</v>
      </c>
      <c r="AC440" s="7">
        <f t="shared" si="112"/>
        <v>0.41322496880316351</v>
      </c>
      <c r="AD440" s="7">
        <f t="shared" si="113"/>
        <v>0.48297888063613681</v>
      </c>
      <c r="AE440" s="6" t="s">
        <v>3</v>
      </c>
      <c r="AF440" s="6" t="s">
        <v>3</v>
      </c>
      <c r="AG440" s="6" t="s">
        <v>3</v>
      </c>
      <c r="AH440" s="6" t="s">
        <v>3</v>
      </c>
      <c r="AI440" s="6" t="s">
        <v>3</v>
      </c>
      <c r="AJ440" s="6" t="s">
        <v>3</v>
      </c>
      <c r="AK440" s="5">
        <f t="shared" si="114"/>
        <v>862.45616145404711</v>
      </c>
      <c r="AL440" s="7">
        <f t="shared" si="115"/>
        <v>4.6895208485416617E-2</v>
      </c>
      <c r="AM440" s="7">
        <f t="shared" si="116"/>
        <v>0.94309905792471693</v>
      </c>
    </row>
    <row r="441" spans="10:39" x14ac:dyDescent="0.25">
      <c r="J441" s="3">
        <v>435</v>
      </c>
      <c r="K441" s="7">
        <v>0.72836553572387275</v>
      </c>
      <c r="L441" s="7">
        <f t="shared" si="106"/>
        <v>0.44916366407829966</v>
      </c>
      <c r="M441" s="7">
        <f t="shared" ca="1" si="101"/>
        <v>0.46270443941079276</v>
      </c>
      <c r="N441" s="7">
        <f t="shared" si="102"/>
        <v>0.72836553572387275</v>
      </c>
      <c r="O441" s="7">
        <v>0.50121730023893696</v>
      </c>
      <c r="P441" s="7">
        <f t="shared" si="103"/>
        <v>0.45194692556478655</v>
      </c>
      <c r="Q441" s="7">
        <f t="shared" si="107"/>
        <v>-4.9270374674150408E-2</v>
      </c>
      <c r="R441" s="7">
        <f t="shared" si="104"/>
        <v>3.0749402276526006E-2</v>
      </c>
      <c r="S441" s="7">
        <f t="shared" si="108"/>
        <v>-3.7637431836992877E-2</v>
      </c>
      <c r="T441" s="7">
        <f t="shared" si="109"/>
        <v>1</v>
      </c>
      <c r="U441" s="7">
        <f t="shared" si="105"/>
        <v>0.9240581950567599</v>
      </c>
      <c r="V441" s="7">
        <f t="shared" si="110"/>
        <v>4.0169885007693182E-2</v>
      </c>
      <c r="W441" s="7">
        <f t="shared" si="111"/>
        <v>0</v>
      </c>
      <c r="X441" s="8" t="s">
        <v>3</v>
      </c>
      <c r="Y441" s="7">
        <v>0.72836553572387275</v>
      </c>
      <c r="Z441" s="7">
        <v>0.45194692556478655</v>
      </c>
      <c r="AC441" s="7">
        <f t="shared" si="112"/>
        <v>0.42119752328826054</v>
      </c>
      <c r="AD441" s="7">
        <f t="shared" si="113"/>
        <v>0.47211126949197335</v>
      </c>
      <c r="AE441" s="6" t="s">
        <v>3</v>
      </c>
      <c r="AF441" s="6" t="s">
        <v>3</v>
      </c>
      <c r="AG441" s="6" t="s">
        <v>3</v>
      </c>
      <c r="AH441" s="6" t="s">
        <v>3</v>
      </c>
      <c r="AI441" s="6" t="s">
        <v>3</v>
      </c>
      <c r="AJ441" s="6" t="s">
        <v>3</v>
      </c>
      <c r="AK441" s="5">
        <f t="shared" si="114"/>
        <v>866.5582498336812</v>
      </c>
      <c r="AL441" s="7">
        <f t="shared" si="115"/>
        <v>3.0749402276526006E-2</v>
      </c>
      <c r="AM441" s="7">
        <f t="shared" si="116"/>
        <v>0.9240581950567599</v>
      </c>
    </row>
    <row r="442" spans="10:39" x14ac:dyDescent="0.25">
      <c r="J442" s="3">
        <v>436</v>
      </c>
      <c r="K442" s="7">
        <v>0.73232591183881102</v>
      </c>
      <c r="L442" s="7">
        <f t="shared" si="106"/>
        <v>0.44600078958890438</v>
      </c>
      <c r="M442" s="7">
        <f t="shared" ca="1" si="101"/>
        <v>0.38541765070908124</v>
      </c>
      <c r="N442" s="7">
        <f t="shared" si="102"/>
        <v>0.73232591183881102</v>
      </c>
      <c r="O442" s="7">
        <v>0.71594014067985201</v>
      </c>
      <c r="P442" s="7">
        <f t="shared" si="103"/>
        <v>0.44766169362545183</v>
      </c>
      <c r="Q442" s="7">
        <f t="shared" si="107"/>
        <v>-0.26827844705440018</v>
      </c>
      <c r="R442" s="7">
        <f t="shared" si="104"/>
        <v>2.2544827640879284E-2</v>
      </c>
      <c r="S442" s="7">
        <f t="shared" si="108"/>
        <v>-5.5471625043117818E-2</v>
      </c>
      <c r="T442" s="7">
        <f t="shared" si="109"/>
        <v>1</v>
      </c>
      <c r="U442" s="7">
        <f t="shared" si="105"/>
        <v>0.91449863254049446</v>
      </c>
      <c r="V442" s="7">
        <f t="shared" si="110"/>
        <v>1.8863056726761033E-2</v>
      </c>
      <c r="W442" s="7">
        <f t="shared" si="111"/>
        <v>0</v>
      </c>
      <c r="X442" s="8" t="s">
        <v>3</v>
      </c>
      <c r="Y442" s="7">
        <v>0.73232591183881102</v>
      </c>
      <c r="Z442" s="7">
        <v>0.44766169362545183</v>
      </c>
      <c r="AC442" s="7">
        <f t="shared" si="112"/>
        <v>0.42511686598457255</v>
      </c>
      <c r="AD442" s="7">
        <f t="shared" si="113"/>
        <v>0.46683693891504263</v>
      </c>
      <c r="AE442" s="6" t="s">
        <v>3</v>
      </c>
      <c r="AF442" s="6" t="s">
        <v>3</v>
      </c>
      <c r="AG442" s="6" t="s">
        <v>3</v>
      </c>
      <c r="AH442" s="6" t="s">
        <v>3</v>
      </c>
      <c r="AI442" s="6" t="s">
        <v>3</v>
      </c>
      <c r="AJ442" s="6" t="s">
        <v>3</v>
      </c>
      <c r="AK442" s="5">
        <f t="shared" si="114"/>
        <v>868.54884002584004</v>
      </c>
      <c r="AL442" s="7">
        <f t="shared" si="115"/>
        <v>2.2544827640879284E-2</v>
      </c>
      <c r="AM442" s="7">
        <f t="shared" si="116"/>
        <v>0.91449863254049446</v>
      </c>
    </row>
    <row r="443" spans="10:39" x14ac:dyDescent="0.25">
      <c r="J443" s="3">
        <v>437</v>
      </c>
      <c r="K443" s="7">
        <v>0.73338959720448149</v>
      </c>
      <c r="L443" s="7">
        <f t="shared" si="106"/>
        <v>0.44511244731903205</v>
      </c>
      <c r="M443" s="7">
        <f t="shared" ca="1" si="101"/>
        <v>0.17561287123714553</v>
      </c>
      <c r="N443" s="7">
        <f t="shared" si="102"/>
        <v>0.73338959720448149</v>
      </c>
      <c r="O443" s="7">
        <v>0.57538265727750704</v>
      </c>
      <c r="P443" s="7">
        <f t="shared" si="103"/>
        <v>0.44647636992070483</v>
      </c>
      <c r="Q443" s="7">
        <f t="shared" si="107"/>
        <v>-0.12890628735680221</v>
      </c>
      <c r="R443" s="7">
        <f t="shared" si="104"/>
        <v>2.0305040267173169E-2</v>
      </c>
      <c r="S443" s="7">
        <f t="shared" si="108"/>
        <v>-4.4406209360826711E-2</v>
      </c>
      <c r="T443" s="7">
        <f t="shared" si="109"/>
        <v>1</v>
      </c>
      <c r="U443" s="7">
        <f t="shared" si="105"/>
        <v>0.91189836113260259</v>
      </c>
      <c r="V443" s="7">
        <f t="shared" si="110"/>
        <v>3.196899186623408E-2</v>
      </c>
      <c r="W443" s="7">
        <f t="shared" si="111"/>
        <v>0</v>
      </c>
      <c r="X443" s="8" t="s">
        <v>3</v>
      </c>
      <c r="Y443" s="7">
        <v>0.73338959720448149</v>
      </c>
      <c r="Z443" s="7">
        <v>0.44647636992070483</v>
      </c>
      <c r="AC443" s="7">
        <f t="shared" si="112"/>
        <v>0.42617132965353166</v>
      </c>
      <c r="AD443" s="7">
        <f t="shared" si="113"/>
        <v>0.46542199121189776</v>
      </c>
      <c r="AE443" s="6" t="s">
        <v>3</v>
      </c>
      <c r="AF443" s="6" t="s">
        <v>3</v>
      </c>
      <c r="AG443" s="6" t="s">
        <v>3</v>
      </c>
      <c r="AH443" s="6" t="s">
        <v>3</v>
      </c>
      <c r="AI443" s="6" t="s">
        <v>3</v>
      </c>
      <c r="AJ443" s="6" t="s">
        <v>3</v>
      </c>
      <c r="AK443" s="5">
        <f t="shared" si="114"/>
        <v>869.08347653383726</v>
      </c>
      <c r="AL443" s="7">
        <f t="shared" si="115"/>
        <v>2.0305040267173169E-2</v>
      </c>
      <c r="AM443" s="7">
        <f t="shared" si="116"/>
        <v>0.91189836113260259</v>
      </c>
    </row>
    <row r="444" spans="10:39" x14ac:dyDescent="0.25">
      <c r="J444" s="3">
        <v>438</v>
      </c>
      <c r="K444" s="7">
        <v>0.73763449882191456</v>
      </c>
      <c r="L444" s="7">
        <f t="shared" si="106"/>
        <v>0.44140359444644778</v>
      </c>
      <c r="M444" s="7">
        <f t="shared" ca="1" si="101"/>
        <v>0.25094865839940678</v>
      </c>
      <c r="N444" s="7">
        <f t="shared" si="102"/>
        <v>0.73763449882191456</v>
      </c>
      <c r="O444" s="7">
        <v>0.52649284133648777</v>
      </c>
      <c r="P444" s="7">
        <f t="shared" si="103"/>
        <v>0.44160454378382008</v>
      </c>
      <c r="Q444" s="7">
        <f t="shared" si="107"/>
        <v>-8.4888297552667691E-2</v>
      </c>
      <c r="R444" s="7">
        <f t="shared" si="104"/>
        <v>1.1228799331504113E-2</v>
      </c>
      <c r="S444" s="7">
        <f t="shared" si="108"/>
        <v>-4.1221123360398695E-2</v>
      </c>
      <c r="T444" s="7">
        <f t="shared" si="109"/>
        <v>1</v>
      </c>
      <c r="U444" s="7">
        <f t="shared" si="105"/>
        <v>0.90139161236238841</v>
      </c>
      <c r="V444" s="7">
        <f t="shared" si="110"/>
        <v>3.5615383247460559E-2</v>
      </c>
      <c r="W444" s="7">
        <f t="shared" si="111"/>
        <v>0</v>
      </c>
      <c r="X444" s="8" t="s">
        <v>3</v>
      </c>
      <c r="Y444" s="7">
        <v>0.73763449882191456</v>
      </c>
      <c r="Z444" s="7">
        <v>0.44160454378382008</v>
      </c>
      <c r="AC444" s="7">
        <f t="shared" si="112"/>
        <v>0.43037574445231597</v>
      </c>
      <c r="AD444" s="7">
        <f t="shared" si="113"/>
        <v>0.45978706857856833</v>
      </c>
      <c r="AE444" s="6" t="s">
        <v>3</v>
      </c>
      <c r="AF444" s="6" t="s">
        <v>3</v>
      </c>
      <c r="AG444" s="6" t="s">
        <v>3</v>
      </c>
      <c r="AH444" s="6" t="s">
        <v>3</v>
      </c>
      <c r="AI444" s="6" t="s">
        <v>3</v>
      </c>
      <c r="AJ444" s="6" t="s">
        <v>3</v>
      </c>
      <c r="AK444" s="5">
        <f t="shared" si="114"/>
        <v>871.21707679833469</v>
      </c>
      <c r="AL444" s="7">
        <f t="shared" si="115"/>
        <v>1.1228799331504113E-2</v>
      </c>
      <c r="AM444" s="7">
        <f t="shared" si="116"/>
        <v>0.90139161236238841</v>
      </c>
    </row>
    <row r="445" spans="10:39" x14ac:dyDescent="0.25">
      <c r="J445" s="3">
        <v>439</v>
      </c>
      <c r="K445" s="7">
        <v>0.7521887108340668</v>
      </c>
      <c r="L445" s="7">
        <f t="shared" si="106"/>
        <v>0.42670823721514406</v>
      </c>
      <c r="M445" s="7">
        <f t="shared" ca="1" si="101"/>
        <v>0.59498300719073005</v>
      </c>
      <c r="N445" s="7">
        <f t="shared" si="102"/>
        <v>0.7521887108340668</v>
      </c>
      <c r="O445" s="7">
        <v>0.72849166069067084</v>
      </c>
      <c r="P445" s="7">
        <f t="shared" si="103"/>
        <v>0.4232793136988966</v>
      </c>
      <c r="Q445" s="7">
        <f t="shared" si="107"/>
        <v>-0.30521234699177424</v>
      </c>
      <c r="R445" s="7">
        <f t="shared" si="104"/>
        <v>-2.1181193110134444E-2</v>
      </c>
      <c r="S445" s="7">
        <f t="shared" si="108"/>
        <v>-5.9973828304064426E-2</v>
      </c>
      <c r="T445" s="7">
        <f t="shared" si="109"/>
        <v>1</v>
      </c>
      <c r="U445" s="7">
        <f t="shared" si="105"/>
        <v>0.86400661371571386</v>
      </c>
      <c r="V445" s="7">
        <f t="shared" si="110"/>
        <v>1.2873920537379086E-2</v>
      </c>
      <c r="W445" s="7">
        <f t="shared" si="111"/>
        <v>0</v>
      </c>
      <c r="X445" s="8" t="s">
        <v>3</v>
      </c>
      <c r="Y445" s="7">
        <v>0.7521887108340668</v>
      </c>
      <c r="Z445" s="7">
        <v>0.4232793136988966</v>
      </c>
      <c r="AC445" s="7">
        <f t="shared" si="112"/>
        <v>0.44446050680903104</v>
      </c>
      <c r="AD445" s="7">
        <f t="shared" si="113"/>
        <v>0.44072730001681726</v>
      </c>
      <c r="AE445" s="6" t="s">
        <v>3</v>
      </c>
      <c r="AF445" s="6" t="s">
        <v>3</v>
      </c>
      <c r="AG445" s="6" t="s">
        <v>3</v>
      </c>
      <c r="AH445" s="6" t="s">
        <v>3</v>
      </c>
      <c r="AI445" s="6" t="s">
        <v>3</v>
      </c>
      <c r="AJ445" s="6" t="s">
        <v>3</v>
      </c>
      <c r="AK445" s="5">
        <f t="shared" si="114"/>
        <v>878.53241020232929</v>
      </c>
      <c r="AL445" s="7">
        <f t="shared" si="115"/>
        <v>-2.1181193110134444E-2</v>
      </c>
      <c r="AM445" s="7">
        <f t="shared" si="116"/>
        <v>0.86400661371571386</v>
      </c>
    </row>
    <row r="446" spans="10:39" x14ac:dyDescent="0.25">
      <c r="J446" s="3">
        <v>440</v>
      </c>
      <c r="K446" s="7">
        <v>0.75485499665156652</v>
      </c>
      <c r="L446" s="7">
        <f t="shared" si="106"/>
        <v>0.42368647496330836</v>
      </c>
      <c r="M446" s="7">
        <f t="shared" ca="1" si="101"/>
        <v>0.5200748777677866</v>
      </c>
      <c r="N446" s="7">
        <f t="shared" si="102"/>
        <v>0.75485499665156652</v>
      </c>
      <c r="O446" s="7">
        <v>0.44185506242172273</v>
      </c>
      <c r="P446" s="7">
        <f t="shared" si="103"/>
        <v>0.41966837731040973</v>
      </c>
      <c r="Q446" s="7">
        <f t="shared" si="107"/>
        <v>-2.2186685111312998E-2</v>
      </c>
      <c r="R446" s="7">
        <f t="shared" si="104"/>
        <v>-2.7266960713022037E-2</v>
      </c>
      <c r="S446" s="7">
        <f t="shared" si="108"/>
        <v>-3.752976185077958E-2</v>
      </c>
      <c r="T446" s="7">
        <f t="shared" si="109"/>
        <v>1</v>
      </c>
      <c r="U446" s="7">
        <f t="shared" si="105"/>
        <v>0.85696734154082654</v>
      </c>
      <c r="V446" s="7">
        <f t="shared" si="110"/>
        <v>3.943566651631486E-2</v>
      </c>
      <c r="W446" s="7">
        <f t="shared" si="111"/>
        <v>0</v>
      </c>
      <c r="X446" s="8" t="s">
        <v>3</v>
      </c>
      <c r="Y446" s="7">
        <v>0.75485499665156652</v>
      </c>
      <c r="Z446" s="7">
        <v>0.41966837731040973</v>
      </c>
      <c r="AC446" s="7">
        <f t="shared" si="112"/>
        <v>0.44693533802343177</v>
      </c>
      <c r="AD446" s="7">
        <f t="shared" si="113"/>
        <v>0.43729896423041681</v>
      </c>
      <c r="AE446" s="6" t="s">
        <v>3</v>
      </c>
      <c r="AF446" s="6" t="s">
        <v>3</v>
      </c>
      <c r="AG446" s="6" t="s">
        <v>3</v>
      </c>
      <c r="AH446" s="6" t="s">
        <v>3</v>
      </c>
      <c r="AI446" s="6" t="s">
        <v>3</v>
      </c>
      <c r="AJ446" s="6" t="s">
        <v>3</v>
      </c>
      <c r="AK446" s="5">
        <f t="shared" si="114"/>
        <v>879.87255625002103</v>
      </c>
      <c r="AL446" s="7">
        <f t="shared" si="115"/>
        <v>-2.7266960713022037E-2</v>
      </c>
      <c r="AM446" s="7">
        <f t="shared" si="116"/>
        <v>0.85696734154082654</v>
      </c>
    </row>
    <row r="447" spans="10:39" x14ac:dyDescent="0.25">
      <c r="J447" s="3">
        <v>441</v>
      </c>
      <c r="K447" s="7">
        <v>0.75845707121856143</v>
      </c>
      <c r="L447" s="7">
        <f t="shared" si="106"/>
        <v>0.41944377543121986</v>
      </c>
      <c r="M447" s="7">
        <f t="shared" ca="1" si="101"/>
        <v>7.9263293813620905E-2</v>
      </c>
      <c r="N447" s="7">
        <f t="shared" si="102"/>
        <v>0.75845707121856143</v>
      </c>
      <c r="O447" s="7">
        <v>0.75009151240244509</v>
      </c>
      <c r="P447" s="7">
        <f t="shared" si="103"/>
        <v>0.41467440381239751</v>
      </c>
      <c r="Q447" s="7">
        <f t="shared" si="107"/>
        <v>-0.33541710859004759</v>
      </c>
      <c r="R447" s="7">
        <f t="shared" si="104"/>
        <v>-3.5529959049489968E-2</v>
      </c>
      <c r="S447" s="7">
        <f t="shared" si="108"/>
        <v>-6.2849717716154802E-2</v>
      </c>
      <c r="T447" s="7">
        <f t="shared" si="109"/>
        <v>1</v>
      </c>
      <c r="U447" s="7">
        <f t="shared" si="105"/>
        <v>0.84738145054714109</v>
      </c>
      <c r="V447" s="7">
        <f t="shared" si="110"/>
        <v>9.2425441237461194E-3</v>
      </c>
      <c r="W447" s="7">
        <f t="shared" si="111"/>
        <v>0</v>
      </c>
      <c r="X447" s="8" t="s">
        <v>3</v>
      </c>
      <c r="Y447" s="7">
        <v>0.75845707121856143</v>
      </c>
      <c r="Z447" s="7">
        <v>0.41467440381239751</v>
      </c>
      <c r="AC447" s="7">
        <f t="shared" si="112"/>
        <v>0.45020436286188747</v>
      </c>
      <c r="AD447" s="7">
        <f t="shared" si="113"/>
        <v>0.43270704673474358</v>
      </c>
      <c r="AE447" s="6" t="s">
        <v>3</v>
      </c>
      <c r="AF447" s="6" t="s">
        <v>3</v>
      </c>
      <c r="AG447" s="6" t="s">
        <v>3</v>
      </c>
      <c r="AH447" s="6" t="s">
        <v>3</v>
      </c>
      <c r="AI447" s="6" t="s">
        <v>3</v>
      </c>
      <c r="AJ447" s="6" t="s">
        <v>3</v>
      </c>
      <c r="AK447" s="5">
        <f t="shared" si="114"/>
        <v>881.68305457048086</v>
      </c>
      <c r="AL447" s="7">
        <f t="shared" si="115"/>
        <v>-3.5529959049489968E-2</v>
      </c>
      <c r="AM447" s="7">
        <f t="shared" si="116"/>
        <v>0.84738145054714109</v>
      </c>
    </row>
    <row r="448" spans="10:39" x14ac:dyDescent="0.25">
      <c r="J448" s="3">
        <v>442</v>
      </c>
      <c r="K448" s="7">
        <v>0.75857508797715134</v>
      </c>
      <c r="L448" s="7">
        <f t="shared" si="106"/>
        <v>0.41930166377599282</v>
      </c>
      <c r="M448" s="7">
        <f t="shared" ca="1" si="101"/>
        <v>0.49659766902372238</v>
      </c>
      <c r="N448" s="7">
        <f t="shared" si="102"/>
        <v>0.75857508797715134</v>
      </c>
      <c r="O448" s="7">
        <v>0.30105925461893412</v>
      </c>
      <c r="P448" s="7">
        <f t="shared" si="103"/>
        <v>0.41450858974701177</v>
      </c>
      <c r="Q448" s="7">
        <f t="shared" si="107"/>
        <v>0.11344933512807764</v>
      </c>
      <c r="R448" s="7">
        <f t="shared" si="104"/>
        <v>-3.5801304652758326E-2</v>
      </c>
      <c r="S448" s="7">
        <f t="shared" si="108"/>
        <v>-2.6948844741735395E-2</v>
      </c>
      <c r="T448" s="7">
        <f t="shared" si="109"/>
        <v>1</v>
      </c>
      <c r="U448" s="7">
        <f t="shared" si="105"/>
        <v>0.84706600651569652</v>
      </c>
      <c r="V448" s="7">
        <f t="shared" si="110"/>
        <v>5.1870641430192425E-2</v>
      </c>
      <c r="W448" s="7">
        <f t="shared" si="111"/>
        <v>0</v>
      </c>
      <c r="X448" s="8" t="s">
        <v>3</v>
      </c>
      <c r="Y448" s="7">
        <v>0.75857508797715134</v>
      </c>
      <c r="Z448" s="7">
        <v>0.41450858974701177</v>
      </c>
      <c r="AC448" s="7">
        <f t="shared" si="112"/>
        <v>0.45030989439977009</v>
      </c>
      <c r="AD448" s="7">
        <f t="shared" si="113"/>
        <v>0.43255741676868475</v>
      </c>
      <c r="AE448" s="6" t="s">
        <v>3</v>
      </c>
      <c r="AF448" s="6" t="s">
        <v>3</v>
      </c>
      <c r="AG448" s="6" t="s">
        <v>3</v>
      </c>
      <c r="AH448" s="6" t="s">
        <v>3</v>
      </c>
      <c r="AI448" s="6" t="s">
        <v>3</v>
      </c>
      <c r="AJ448" s="6" t="s">
        <v>3</v>
      </c>
      <c r="AK448" s="5">
        <f t="shared" si="114"/>
        <v>881.74237292695545</v>
      </c>
      <c r="AL448" s="7">
        <f t="shared" si="115"/>
        <v>-3.5801304652758326E-2</v>
      </c>
      <c r="AM448" s="7">
        <f t="shared" si="116"/>
        <v>0.84706600651569652</v>
      </c>
    </row>
    <row r="449" spans="10:39" x14ac:dyDescent="0.25">
      <c r="J449" s="3">
        <v>443</v>
      </c>
      <c r="K449" s="7">
        <v>0.76311403797547639</v>
      </c>
      <c r="L449" s="7">
        <f t="shared" si="106"/>
        <v>0.41368737854352439</v>
      </c>
      <c r="M449" s="7">
        <f t="shared" ca="1" si="101"/>
        <v>0.49724352221364782</v>
      </c>
      <c r="N449" s="7">
        <f t="shared" si="102"/>
        <v>0.76311403797547639</v>
      </c>
      <c r="O449" s="7">
        <v>0.51817826840823356</v>
      </c>
      <c r="P449" s="7">
        <f t="shared" si="103"/>
        <v>0.40802925870339202</v>
      </c>
      <c r="Q449" s="7">
        <f t="shared" si="107"/>
        <v>-0.11014900970484154</v>
      </c>
      <c r="R449" s="7">
        <f t="shared" si="104"/>
        <v>-4.6256055079528124E-2</v>
      </c>
      <c r="S449" s="7">
        <f t="shared" si="108"/>
        <v>-4.5154745879020936E-2</v>
      </c>
      <c r="T449" s="7">
        <f t="shared" si="109"/>
        <v>1</v>
      </c>
      <c r="U449" s="7">
        <f t="shared" si="105"/>
        <v>0.83487397598958046</v>
      </c>
      <c r="V449" s="7">
        <f t="shared" si="110"/>
        <v>3.0086092220227956E-2</v>
      </c>
      <c r="W449" s="7">
        <f t="shared" si="111"/>
        <v>0</v>
      </c>
      <c r="X449" s="8" t="s">
        <v>3</v>
      </c>
      <c r="Y449" s="7">
        <v>0.76311403797547639</v>
      </c>
      <c r="Z449" s="7">
        <v>0.40802925870339202</v>
      </c>
      <c r="AC449" s="7">
        <f t="shared" si="112"/>
        <v>0.45428531378292014</v>
      </c>
      <c r="AD449" s="7">
        <f t="shared" si="113"/>
        <v>0.42684471728618845</v>
      </c>
      <c r="AE449" s="6" t="s">
        <v>3</v>
      </c>
      <c r="AF449" s="6" t="s">
        <v>3</v>
      </c>
      <c r="AG449" s="6" t="s">
        <v>3</v>
      </c>
      <c r="AH449" s="6" t="s">
        <v>3</v>
      </c>
      <c r="AI449" s="6" t="s">
        <v>3</v>
      </c>
      <c r="AJ449" s="6" t="s">
        <v>3</v>
      </c>
      <c r="AK449" s="5">
        <f t="shared" si="114"/>
        <v>884.02376971532738</v>
      </c>
      <c r="AL449" s="7">
        <f t="shared" si="115"/>
        <v>-4.6256055079528124E-2</v>
      </c>
      <c r="AM449" s="7">
        <f t="shared" si="116"/>
        <v>0.83487397598958046</v>
      </c>
    </row>
    <row r="450" spans="10:39" x14ac:dyDescent="0.25">
      <c r="J450" s="3">
        <v>444</v>
      </c>
      <c r="K450" s="7">
        <v>0.76529889911050075</v>
      </c>
      <c r="L450" s="7">
        <f t="shared" si="106"/>
        <v>0.41088215390503185</v>
      </c>
      <c r="M450" s="7">
        <f t="shared" ca="1" si="101"/>
        <v>0.34562018954353796</v>
      </c>
      <c r="N450" s="7">
        <f t="shared" si="102"/>
        <v>0.76529889911050075</v>
      </c>
      <c r="O450" s="7">
        <v>0.49432094317925745</v>
      </c>
      <c r="P450" s="7">
        <f t="shared" si="103"/>
        <v>0.40484148829681654</v>
      </c>
      <c r="Q450" s="7">
        <f t="shared" si="107"/>
        <v>-8.9479454882440912E-2</v>
      </c>
      <c r="R450" s="7">
        <f t="shared" si="104"/>
        <v>-5.1295297224968728E-2</v>
      </c>
      <c r="S450" s="7">
        <f t="shared" si="108"/>
        <v>-4.3649299232338096E-2</v>
      </c>
      <c r="T450" s="7">
        <f t="shared" si="109"/>
        <v>1</v>
      </c>
      <c r="U450" s="7">
        <f t="shared" si="105"/>
        <v>0.8289671073511824</v>
      </c>
      <c r="V450" s="7">
        <f t="shared" si="110"/>
        <v>3.179138559633287E-2</v>
      </c>
      <c r="W450" s="7">
        <f t="shared" si="111"/>
        <v>0</v>
      </c>
      <c r="X450" s="8" t="s">
        <v>3</v>
      </c>
      <c r="Y450" s="7">
        <v>0.76529889911050075</v>
      </c>
      <c r="Z450" s="7">
        <v>0.40484148829681654</v>
      </c>
      <c r="AC450" s="7">
        <f t="shared" si="112"/>
        <v>0.45613678552178527</v>
      </c>
      <c r="AD450" s="7">
        <f t="shared" si="113"/>
        <v>0.42412561905436585</v>
      </c>
      <c r="AE450" s="6" t="s">
        <v>3</v>
      </c>
      <c r="AF450" s="6" t="s">
        <v>3</v>
      </c>
      <c r="AG450" s="6" t="s">
        <v>3</v>
      </c>
      <c r="AH450" s="6" t="s">
        <v>3</v>
      </c>
      <c r="AI450" s="6" t="s">
        <v>3</v>
      </c>
      <c r="AJ450" s="6" t="s">
        <v>3</v>
      </c>
      <c r="AK450" s="5">
        <f t="shared" si="114"/>
        <v>885.12193893471124</v>
      </c>
      <c r="AL450" s="7">
        <f t="shared" si="115"/>
        <v>-5.1295297224968728E-2</v>
      </c>
      <c r="AM450" s="7">
        <f t="shared" si="116"/>
        <v>0.8289671073511824</v>
      </c>
    </row>
    <row r="451" spans="10:39" x14ac:dyDescent="0.25">
      <c r="J451" s="3">
        <v>445</v>
      </c>
      <c r="K451" s="7">
        <v>0.76726477289307904</v>
      </c>
      <c r="L451" s="7">
        <f t="shared" si="106"/>
        <v>0.40830145449155331</v>
      </c>
      <c r="M451" s="7">
        <f t="shared" ca="1" si="101"/>
        <v>0.56968003976156123</v>
      </c>
      <c r="N451" s="7">
        <f t="shared" si="102"/>
        <v>0.76726477289307904</v>
      </c>
      <c r="O451" s="7">
        <v>0.56059154592730565</v>
      </c>
      <c r="P451" s="7">
        <f t="shared" si="103"/>
        <v>0.40193642625407033</v>
      </c>
      <c r="Q451" s="7">
        <f t="shared" si="107"/>
        <v>-0.15865511967323531</v>
      </c>
      <c r="R451" s="7">
        <f t="shared" si="104"/>
        <v>-5.5828889712517871E-2</v>
      </c>
      <c r="S451" s="7">
        <f t="shared" si="108"/>
        <v>-4.9313634851185881E-2</v>
      </c>
      <c r="T451" s="7">
        <f t="shared" si="109"/>
        <v>1</v>
      </c>
      <c r="U451" s="7">
        <f t="shared" si="105"/>
        <v>0.8236335728335622</v>
      </c>
      <c r="V451" s="7">
        <f t="shared" si="110"/>
        <v>2.4988992556094373E-2</v>
      </c>
      <c r="W451" s="7">
        <f t="shared" si="111"/>
        <v>0</v>
      </c>
      <c r="X451" s="8" t="s">
        <v>3</v>
      </c>
      <c r="Y451" s="7">
        <v>0.76726477289307904</v>
      </c>
      <c r="Z451" s="7">
        <v>0.40193642625407033</v>
      </c>
      <c r="AC451" s="7">
        <f t="shared" si="112"/>
        <v>0.4577653159665882</v>
      </c>
      <c r="AD451" s="7">
        <f t="shared" si="113"/>
        <v>0.42169714657949187</v>
      </c>
      <c r="AE451" s="6" t="s">
        <v>3</v>
      </c>
      <c r="AF451" s="6" t="s">
        <v>3</v>
      </c>
      <c r="AG451" s="6" t="s">
        <v>3</v>
      </c>
      <c r="AH451" s="6" t="s">
        <v>3</v>
      </c>
      <c r="AI451" s="6" t="s">
        <v>3</v>
      </c>
      <c r="AJ451" s="6" t="s">
        <v>3</v>
      </c>
      <c r="AK451" s="5">
        <f t="shared" si="114"/>
        <v>886.11003929615481</v>
      </c>
      <c r="AL451" s="7">
        <f t="shared" si="115"/>
        <v>-5.5828889712517871E-2</v>
      </c>
      <c r="AM451" s="7">
        <f t="shared" si="116"/>
        <v>0.8236335728335622</v>
      </c>
    </row>
    <row r="452" spans="10:39" x14ac:dyDescent="0.25">
      <c r="J452" s="3">
        <v>446</v>
      </c>
      <c r="K452" s="7">
        <v>0.77237145626792891</v>
      </c>
      <c r="L452" s="7">
        <f t="shared" si="106"/>
        <v>0.40134919335419444</v>
      </c>
      <c r="M452" s="7">
        <f t="shared" ca="1" si="101"/>
        <v>0.76642351188978941</v>
      </c>
      <c r="N452" s="7">
        <f t="shared" si="102"/>
        <v>0.77237145626792891</v>
      </c>
      <c r="O452" s="7">
        <v>0.38197626685321007</v>
      </c>
      <c r="P452" s="7">
        <f t="shared" si="103"/>
        <v>0.39423415323971689</v>
      </c>
      <c r="Q452" s="7">
        <f t="shared" si="107"/>
        <v>1.2257886386506822E-2</v>
      </c>
      <c r="R452" s="7">
        <f t="shared" si="104"/>
        <v>-6.7583468362109045E-2</v>
      </c>
      <c r="S452" s="7">
        <f t="shared" si="108"/>
        <v>-3.5964778817225533E-2</v>
      </c>
      <c r="T452" s="7">
        <f t="shared" si="109"/>
        <v>1</v>
      </c>
      <c r="U452" s="7">
        <f t="shared" si="105"/>
        <v>0.80970742389781969</v>
      </c>
      <c r="V452" s="7">
        <f t="shared" si="110"/>
        <v>4.0634459919237913E-2</v>
      </c>
      <c r="W452" s="7">
        <f t="shared" si="111"/>
        <v>0</v>
      </c>
      <c r="X452" s="8" t="s">
        <v>3</v>
      </c>
      <c r="Y452" s="7">
        <v>0.77237145626792891</v>
      </c>
      <c r="Z452" s="7">
        <v>0.39423415323971689</v>
      </c>
      <c r="AC452" s="7">
        <f t="shared" si="112"/>
        <v>0.46181762160182593</v>
      </c>
      <c r="AD452" s="7">
        <f t="shared" si="113"/>
        <v>0.4154732706581028</v>
      </c>
      <c r="AE452" s="6" t="s">
        <v>3</v>
      </c>
      <c r="AF452" s="6" t="s">
        <v>3</v>
      </c>
      <c r="AG452" s="6" t="s">
        <v>3</v>
      </c>
      <c r="AH452" s="6" t="s">
        <v>3</v>
      </c>
      <c r="AI452" s="6" t="s">
        <v>3</v>
      </c>
      <c r="AJ452" s="6" t="s">
        <v>3</v>
      </c>
      <c r="AK452" s="5">
        <f t="shared" si="114"/>
        <v>888.67679395415144</v>
      </c>
      <c r="AL452" s="7">
        <f t="shared" si="115"/>
        <v>-6.7583468362109045E-2</v>
      </c>
      <c r="AM452" s="7">
        <f t="shared" si="116"/>
        <v>0.80970742389781969</v>
      </c>
    </row>
    <row r="453" spans="10:39" x14ac:dyDescent="0.25">
      <c r="J453" s="3">
        <v>447</v>
      </c>
      <c r="K453" s="7">
        <v>0.77566549428490905</v>
      </c>
      <c r="L453" s="7">
        <f t="shared" si="106"/>
        <v>0.396676408642472</v>
      </c>
      <c r="M453" s="7">
        <f t="shared" ca="1" si="101"/>
        <v>0.30145094989019927</v>
      </c>
      <c r="N453" s="7">
        <f t="shared" si="102"/>
        <v>0.77566549428490905</v>
      </c>
      <c r="O453" s="7">
        <v>0.59386820395613948</v>
      </c>
      <c r="P453" s="7">
        <f t="shared" si="103"/>
        <v>0.38915245967903633</v>
      </c>
      <c r="Q453" s="7">
        <f t="shared" si="107"/>
        <v>-0.20471574427710315</v>
      </c>
      <c r="R453" s="7">
        <f t="shared" si="104"/>
        <v>-7.5132447339406383E-2</v>
      </c>
      <c r="S453" s="7">
        <f t="shared" si="108"/>
        <v>-5.3520052103643669E-2</v>
      </c>
      <c r="T453" s="7">
        <f t="shared" si="109"/>
        <v>1</v>
      </c>
      <c r="U453" s="7">
        <f t="shared" si="105"/>
        <v>0.80067929024986229</v>
      </c>
      <c r="V453" s="7">
        <f t="shared" si="110"/>
        <v>1.9647053197903667E-2</v>
      </c>
      <c r="W453" s="7">
        <f t="shared" si="111"/>
        <v>0</v>
      </c>
      <c r="X453" s="8" t="s">
        <v>3</v>
      </c>
      <c r="Y453" s="7">
        <v>0.77566549428490905</v>
      </c>
      <c r="Z453" s="7">
        <v>0.38915245967903633</v>
      </c>
      <c r="AC453" s="7">
        <f t="shared" si="112"/>
        <v>0.46428490701844272</v>
      </c>
      <c r="AD453" s="7">
        <f t="shared" si="113"/>
        <v>0.41152683057082595</v>
      </c>
      <c r="AE453" s="6" t="s">
        <v>3</v>
      </c>
      <c r="AF453" s="6" t="s">
        <v>3</v>
      </c>
      <c r="AG453" s="6" t="s">
        <v>3</v>
      </c>
      <c r="AH453" s="6" t="s">
        <v>3</v>
      </c>
      <c r="AI453" s="6" t="s">
        <v>3</v>
      </c>
      <c r="AJ453" s="6" t="s">
        <v>3</v>
      </c>
      <c r="AK453" s="5">
        <f t="shared" si="114"/>
        <v>890.33246492551859</v>
      </c>
      <c r="AL453" s="7">
        <f t="shared" si="115"/>
        <v>-7.5132447339406383E-2</v>
      </c>
      <c r="AM453" s="7">
        <f t="shared" si="116"/>
        <v>0.80067929024986229</v>
      </c>
    </row>
    <row r="454" spans="10:39" x14ac:dyDescent="0.25">
      <c r="J454" s="3">
        <v>448</v>
      </c>
      <c r="K454" s="7">
        <v>0.78654306515559003</v>
      </c>
      <c r="L454" s="7">
        <f t="shared" si="106"/>
        <v>0.38022221530742201</v>
      </c>
      <c r="M454" s="7">
        <f t="shared" ca="1" si="101"/>
        <v>0.66721429381952602</v>
      </c>
      <c r="N454" s="7">
        <f t="shared" si="102"/>
        <v>0.78654306515559003</v>
      </c>
      <c r="O454" s="7">
        <v>0.11357831184426884</v>
      </c>
      <c r="P454" s="7">
        <f t="shared" si="103"/>
        <v>0.37180356541848969</v>
      </c>
      <c r="Q454" s="7">
        <f t="shared" si="107"/>
        <v>0.25822525357422088</v>
      </c>
      <c r="R454" s="7">
        <f t="shared" si="104"/>
        <v>-9.9718703632730943E-2</v>
      </c>
      <c r="S454" s="7">
        <f t="shared" si="108"/>
        <v>-1.7063761238159982E-2</v>
      </c>
      <c r="T454" s="7">
        <f t="shared" si="109"/>
        <v>1</v>
      </c>
      <c r="U454" s="7">
        <f t="shared" si="105"/>
        <v>0.77071021339278478</v>
      </c>
      <c r="V454" s="7">
        <f t="shared" si="110"/>
        <v>6.2427530647109021E-2</v>
      </c>
      <c r="W454" s="7">
        <f t="shared" si="111"/>
        <v>0</v>
      </c>
      <c r="X454" s="8" t="s">
        <v>3</v>
      </c>
      <c r="Y454" s="7">
        <v>0.78654306515559003</v>
      </c>
      <c r="Z454" s="7">
        <v>0.37180356541848969</v>
      </c>
      <c r="AC454" s="7">
        <f t="shared" si="112"/>
        <v>0.47152226905122063</v>
      </c>
      <c r="AD454" s="7">
        <f t="shared" si="113"/>
        <v>0.39890664797429509</v>
      </c>
      <c r="AE454" s="6" t="s">
        <v>3</v>
      </c>
      <c r="AF454" s="6" t="s">
        <v>3</v>
      </c>
      <c r="AG454" s="6" t="s">
        <v>3</v>
      </c>
      <c r="AH454" s="6" t="s">
        <v>3</v>
      </c>
      <c r="AI454" s="6" t="s">
        <v>3</v>
      </c>
      <c r="AJ454" s="6" t="s">
        <v>3</v>
      </c>
      <c r="AK454" s="5">
        <f t="shared" si="114"/>
        <v>895.7998208688133</v>
      </c>
      <c r="AL454" s="7">
        <f t="shared" si="115"/>
        <v>-9.9718703632730943E-2</v>
      </c>
      <c r="AM454" s="7">
        <f t="shared" si="116"/>
        <v>0.77071021339278478</v>
      </c>
    </row>
    <row r="455" spans="10:39" x14ac:dyDescent="0.25">
      <c r="J455" s="3">
        <v>449</v>
      </c>
      <c r="K455" s="7">
        <v>0.78820851157762628</v>
      </c>
      <c r="L455" s="7">
        <f t="shared" si="106"/>
        <v>0.37756736902608684</v>
      </c>
      <c r="M455" s="7">
        <f t="shared" ref="M455:M507" ca="1" si="117">L455+0.9*_xlfn.NORM.INV(RAND(),0,0.1)+0.1*_xlfn.NORM.INV(RAND(),0,2)</f>
        <v>0.75185627048109049</v>
      </c>
      <c r="N455" s="7">
        <f t="shared" ref="N455:N507" si="118">K455</f>
        <v>0.78820851157762628</v>
      </c>
      <c r="O455" s="7">
        <v>0.16083659846272169</v>
      </c>
      <c r="P455" s="7">
        <f t="shared" ref="P455:P507" si="119">AG$8+AG$9*TANH(AG$10+AG$11*TANH(AG$12+AG$13*N455)+AG$14*TANH(AG$15+AG$16*N455)+AG$17*TANH(AG$18+AG$19*N455)+AG$20*TANH(AG$21+AG$22*N455))+AG$23*TANH(AG$24+AG$25*N455)</f>
        <v>0.36907744360955208</v>
      </c>
      <c r="Q455" s="7">
        <f t="shared" si="107"/>
        <v>0.20824084514683039</v>
      </c>
      <c r="R455" s="7">
        <f t="shared" ref="R455:R507" si="120">AH$8+AH$9*TANH(AH$10+AH$11*TANH(AH$12+AH$13*$N455)+AH$14*TANH(AH$15+AH$16*$N455)+AH$17*TANH(AH$18+AH$19*$N455)+AH$20*TANH(AH$21+AH$22*$N455))+AH$23*TANH(AH$24+AH$25*$N455)</f>
        <v>-0.10342061645948597</v>
      </c>
      <c r="S455" s="7">
        <f t="shared" si="108"/>
        <v>-2.1140577193776613E-2</v>
      </c>
      <c r="T455" s="7">
        <f t="shared" si="109"/>
        <v>1</v>
      </c>
      <c r="U455" s="7">
        <f t="shared" ref="U455:U507" si="121">AI$8+AI$9*TANH(AI$10+AI$11*TANH(AI$12+AI$13*$N455)+AI$14*TANH(AI$15+AI$16*$N455)+AI$17*TANH(AI$18+AI$19*$N455)+AI$20*TANH(AI$21+AI$22*$N455))+AI$23*TANH(AI$24+AI$25*$N455)</f>
        <v>0.76611064865954925</v>
      </c>
      <c r="V455" s="7">
        <f t="shared" si="110"/>
        <v>5.7501034768698618E-2</v>
      </c>
      <c r="W455" s="7">
        <f t="shared" si="111"/>
        <v>0</v>
      </c>
      <c r="X455" s="8" t="s">
        <v>3</v>
      </c>
      <c r="Y455" s="7">
        <v>0.78820851157762628</v>
      </c>
      <c r="Z455" s="7">
        <v>0.36907744360955208</v>
      </c>
      <c r="AC455" s="7">
        <f t="shared" si="112"/>
        <v>0.47249806006903805</v>
      </c>
      <c r="AD455" s="7">
        <f t="shared" si="113"/>
        <v>0.39703320504999717</v>
      </c>
      <c r="AE455" s="6" t="s">
        <v>3</v>
      </c>
      <c r="AF455" s="6" t="s">
        <v>3</v>
      </c>
      <c r="AG455" s="6" t="s">
        <v>3</v>
      </c>
      <c r="AH455" s="6" t="s">
        <v>3</v>
      </c>
      <c r="AI455" s="6" t="s">
        <v>3</v>
      </c>
      <c r="AJ455" s="6" t="s">
        <v>3</v>
      </c>
      <c r="AK455" s="5">
        <f t="shared" si="114"/>
        <v>896.63691846183394</v>
      </c>
      <c r="AL455" s="7">
        <f t="shared" si="115"/>
        <v>-0.10342061645948597</v>
      </c>
      <c r="AM455" s="7">
        <f t="shared" si="116"/>
        <v>0.76611064865954925</v>
      </c>
    </row>
    <row r="456" spans="10:39" x14ac:dyDescent="0.25">
      <c r="J456" s="3">
        <v>450</v>
      </c>
      <c r="K456" s="7">
        <v>0.80156635078397631</v>
      </c>
      <c r="L456" s="7">
        <f t="shared" ref="L456:L507" si="122">15*(K456^2-1)^2*K456^4*EXP(-1*K456)</f>
        <v>0.35502953828708894</v>
      </c>
      <c r="M456" s="7">
        <f t="shared" ca="1" si="117"/>
        <v>0.64188693262427376</v>
      </c>
      <c r="N456" s="7">
        <f t="shared" si="118"/>
        <v>0.80156635078397631</v>
      </c>
      <c r="O456" s="7">
        <v>0.25683779844425758</v>
      </c>
      <c r="P456" s="7">
        <f t="shared" si="119"/>
        <v>0.34665366971106693</v>
      </c>
      <c r="Q456" s="7">
        <f t="shared" ref="Q456:Q507" si="123">P456-O456</f>
        <v>8.9815871266809344E-2</v>
      </c>
      <c r="R456" s="7">
        <f t="shared" si="120"/>
        <v>-0.13229036730386312</v>
      </c>
      <c r="S456" s="7">
        <f t="shared" ref="S456:S507" si="124">IF(R456-O456&gt;0,1-$S$5,$S$5)*(R456-O456)</f>
        <v>-3.1130253259849656E-2</v>
      </c>
      <c r="T456" s="7">
        <f t="shared" ref="T456:T507" si="125">IF(R456&lt;O456,1,0)</f>
        <v>1</v>
      </c>
      <c r="U456" s="7">
        <f t="shared" si="121"/>
        <v>0.72926244216364355</v>
      </c>
      <c r="V456" s="7">
        <f t="shared" ref="V456:V507" si="126">IF(U456-O456&lt;0,1-$V$5,$V$5)*(U456-O456)</f>
        <v>4.488034115334167E-2</v>
      </c>
      <c r="W456" s="7">
        <f t="shared" ref="W456:W507" si="127">IF(U456&lt;O456,1,0)</f>
        <v>0</v>
      </c>
      <c r="X456" s="8" t="s">
        <v>3</v>
      </c>
      <c r="Y456" s="7">
        <v>0.80156635078397631</v>
      </c>
      <c r="Z456" s="7">
        <v>0.34665366971106693</v>
      </c>
      <c r="AC456" s="7">
        <f t="shared" ref="AC456:AC509" si="128">P456-R456</f>
        <v>0.47894403701493005</v>
      </c>
      <c r="AD456" s="7">
        <f t="shared" ref="AD456:AD509" si="129">U456-P456</f>
        <v>0.38260877245257663</v>
      </c>
      <c r="AE456" s="6" t="s">
        <v>3</v>
      </c>
      <c r="AF456" s="6" t="s">
        <v>3</v>
      </c>
      <c r="AG456" s="6" t="s">
        <v>3</v>
      </c>
      <c r="AH456" s="6" t="s">
        <v>3</v>
      </c>
      <c r="AI456" s="6" t="s">
        <v>3</v>
      </c>
      <c r="AJ456" s="6" t="s">
        <v>3</v>
      </c>
      <c r="AK456" s="5">
        <f t="shared" ref="AK456:AK507" si="130">1000*(N456-MIN(N$7:N$507))/(MAX(N$7:N$507)-MIN(N$7:N$507))</f>
        <v>903.35092312727454</v>
      </c>
      <c r="AL456" s="7">
        <f t="shared" ref="AL456:AL509" si="131">R456</f>
        <v>-0.13229036730386312</v>
      </c>
      <c r="AM456" s="7">
        <f t="shared" ref="AM456:AM509" si="132">U456-0*R456</f>
        <v>0.72926244216364355</v>
      </c>
    </row>
    <row r="457" spans="10:39" x14ac:dyDescent="0.25">
      <c r="J457" s="3">
        <v>451</v>
      </c>
      <c r="K457" s="7">
        <v>0.80177091359399988</v>
      </c>
      <c r="L457" s="7">
        <f t="shared" si="122"/>
        <v>0.35466772221226689</v>
      </c>
      <c r="M457" s="7">
        <f t="shared" ca="1" si="117"/>
        <v>0.39010158687971058</v>
      </c>
      <c r="N457" s="7">
        <f t="shared" si="118"/>
        <v>0.80177091359399988</v>
      </c>
      <c r="O457" s="7">
        <v>4.2242749013238268E-2</v>
      </c>
      <c r="P457" s="7">
        <f t="shared" si="119"/>
        <v>0.34630345868949242</v>
      </c>
      <c r="Q457" s="7">
        <f t="shared" si="123"/>
        <v>0.30406070967625415</v>
      </c>
      <c r="R457" s="7">
        <f t="shared" si="120"/>
        <v>-0.13271955043143091</v>
      </c>
      <c r="S457" s="7">
        <f t="shared" si="124"/>
        <v>-1.3996983955573535E-2</v>
      </c>
      <c r="T457" s="7">
        <f t="shared" si="125"/>
        <v>1</v>
      </c>
      <c r="U457" s="7">
        <f t="shared" si="121"/>
        <v>0.72869987596146069</v>
      </c>
      <c r="V457" s="7">
        <f t="shared" si="126"/>
        <v>6.5213427060081139E-2</v>
      </c>
      <c r="W457" s="7">
        <f t="shared" si="127"/>
        <v>0</v>
      </c>
      <c r="X457" s="8" t="s">
        <v>3</v>
      </c>
      <c r="Y457" s="7">
        <v>0.80177091359399988</v>
      </c>
      <c r="Z457" s="7">
        <v>0.34630345868949242</v>
      </c>
      <c r="AC457" s="7">
        <f t="shared" si="128"/>
        <v>0.47902300912092333</v>
      </c>
      <c r="AD457" s="7">
        <f t="shared" si="129"/>
        <v>0.38239641727196827</v>
      </c>
      <c r="AE457" s="6" t="s">
        <v>3</v>
      </c>
      <c r="AF457" s="6" t="s">
        <v>3</v>
      </c>
      <c r="AG457" s="6" t="s">
        <v>3</v>
      </c>
      <c r="AH457" s="6" t="s">
        <v>3</v>
      </c>
      <c r="AI457" s="6" t="s">
        <v>3</v>
      </c>
      <c r="AJ457" s="6" t="s">
        <v>3</v>
      </c>
      <c r="AK457" s="5">
        <f t="shared" si="130"/>
        <v>903.45374182718979</v>
      </c>
      <c r="AL457" s="7">
        <f t="shared" si="131"/>
        <v>-0.13271955043143091</v>
      </c>
      <c r="AM457" s="7">
        <f t="shared" si="132"/>
        <v>0.72869987596146069</v>
      </c>
    </row>
    <row r="458" spans="10:39" x14ac:dyDescent="0.25">
      <c r="J458" s="3">
        <v>452</v>
      </c>
      <c r="K458" s="7">
        <v>0.80640333201748016</v>
      </c>
      <c r="L458" s="7">
        <f t="shared" si="122"/>
        <v>0.34634522472280987</v>
      </c>
      <c r="M458" s="7">
        <f t="shared" ca="1" si="117"/>
        <v>0.15931977489110677</v>
      </c>
      <c r="N458" s="7">
        <f t="shared" si="118"/>
        <v>0.80640333201748016</v>
      </c>
      <c r="O458" s="7">
        <v>0.36474200068972412</v>
      </c>
      <c r="P458" s="7">
        <f t="shared" si="119"/>
        <v>0.33832650735633951</v>
      </c>
      <c r="Q458" s="7">
        <f t="shared" si="123"/>
        <v>-2.641549333338461E-2</v>
      </c>
      <c r="R458" s="7">
        <f t="shared" si="120"/>
        <v>-0.14232074951519724</v>
      </c>
      <c r="S458" s="7">
        <f t="shared" si="124"/>
        <v>-4.0565020016393713E-2</v>
      </c>
      <c r="T458" s="7">
        <f t="shared" si="125"/>
        <v>1</v>
      </c>
      <c r="U458" s="7">
        <f t="shared" si="121"/>
        <v>0.71598466822884999</v>
      </c>
      <c r="V458" s="7">
        <f t="shared" si="126"/>
        <v>3.3368053416216958E-2</v>
      </c>
      <c r="W458" s="7">
        <f t="shared" si="127"/>
        <v>0</v>
      </c>
      <c r="X458" s="8" t="s">
        <v>3</v>
      </c>
      <c r="Y458" s="7">
        <v>0.80640333201748016</v>
      </c>
      <c r="Z458" s="7">
        <v>0.33832650735633951</v>
      </c>
      <c r="AC458" s="7">
        <f t="shared" si="128"/>
        <v>0.48064725687153675</v>
      </c>
      <c r="AD458" s="7">
        <f t="shared" si="129"/>
        <v>0.37765816087251047</v>
      </c>
      <c r="AE458" s="6" t="s">
        <v>3</v>
      </c>
      <c r="AF458" s="6" t="s">
        <v>3</v>
      </c>
      <c r="AG458" s="6" t="s">
        <v>3</v>
      </c>
      <c r="AH458" s="6" t="s">
        <v>3</v>
      </c>
      <c r="AI458" s="6" t="s">
        <v>3</v>
      </c>
      <c r="AJ458" s="6" t="s">
        <v>3</v>
      </c>
      <c r="AK458" s="5">
        <f t="shared" si="130"/>
        <v>905.78211832783916</v>
      </c>
      <c r="AL458" s="7">
        <f t="shared" si="131"/>
        <v>-0.14232074951519724</v>
      </c>
      <c r="AM458" s="7">
        <f t="shared" si="132"/>
        <v>0.71598466822884999</v>
      </c>
    </row>
    <row r="459" spans="10:39" x14ac:dyDescent="0.25">
      <c r="J459" s="3">
        <v>453</v>
      </c>
      <c r="K459" s="7">
        <v>0.80679396746290544</v>
      </c>
      <c r="L459" s="7">
        <f t="shared" si="122"/>
        <v>0.34563227389150114</v>
      </c>
      <c r="M459" s="7">
        <f t="shared" ca="1" si="117"/>
        <v>0.17728880199226993</v>
      </c>
      <c r="N459" s="7">
        <f t="shared" si="118"/>
        <v>0.80679396746290544</v>
      </c>
      <c r="O459" s="7">
        <v>0.48178210062615395</v>
      </c>
      <c r="P459" s="7">
        <f t="shared" si="119"/>
        <v>0.33765000657903554</v>
      </c>
      <c r="Q459" s="7">
        <f t="shared" si="123"/>
        <v>-0.14413209404711841</v>
      </c>
      <c r="R459" s="7">
        <f t="shared" si="120"/>
        <v>-0.1431197674657847</v>
      </c>
      <c r="S459" s="7">
        <f t="shared" si="124"/>
        <v>-4.9992149447355097E-2</v>
      </c>
      <c r="T459" s="7">
        <f t="shared" si="125"/>
        <v>1</v>
      </c>
      <c r="U459" s="7">
        <f t="shared" si="121"/>
        <v>0.71491482110966564</v>
      </c>
      <c r="V459" s="7">
        <f t="shared" si="126"/>
        <v>2.2147608445933612E-2</v>
      </c>
      <c r="W459" s="7">
        <f t="shared" si="127"/>
        <v>0</v>
      </c>
      <c r="X459" s="8" t="s">
        <v>3</v>
      </c>
      <c r="Y459" s="7">
        <v>0.80679396746290544</v>
      </c>
      <c r="Z459" s="7">
        <v>0.33765000657903554</v>
      </c>
      <c r="AC459" s="7">
        <f t="shared" si="128"/>
        <v>0.48076977404482024</v>
      </c>
      <c r="AD459" s="7">
        <f t="shared" si="129"/>
        <v>0.3772648145306301</v>
      </c>
      <c r="AE459" s="6" t="s">
        <v>3</v>
      </c>
      <c r="AF459" s="6" t="s">
        <v>3</v>
      </c>
      <c r="AG459" s="6" t="s">
        <v>3</v>
      </c>
      <c r="AH459" s="6" t="s">
        <v>3</v>
      </c>
      <c r="AI459" s="6" t="s">
        <v>3</v>
      </c>
      <c r="AJ459" s="6" t="s">
        <v>3</v>
      </c>
      <c r="AK459" s="5">
        <f t="shared" si="130"/>
        <v>905.97846207494956</v>
      </c>
      <c r="AL459" s="7">
        <f t="shared" si="131"/>
        <v>-0.1431197674657847</v>
      </c>
      <c r="AM459" s="7">
        <f t="shared" si="132"/>
        <v>0.71491482110966564</v>
      </c>
    </row>
    <row r="460" spans="10:39" x14ac:dyDescent="0.25">
      <c r="J460" s="3">
        <v>454</v>
      </c>
      <c r="K460" s="7">
        <v>0.8078504491769174</v>
      </c>
      <c r="L460" s="7">
        <f t="shared" si="122"/>
        <v>0.34369554279818476</v>
      </c>
      <c r="M460" s="7">
        <f t="shared" ca="1" si="117"/>
        <v>0.32144657158041712</v>
      </c>
      <c r="N460" s="7">
        <f t="shared" si="118"/>
        <v>0.8078504491769174</v>
      </c>
      <c r="O460" s="7">
        <v>0.62337196915110837</v>
      </c>
      <c r="P460" s="7">
        <f t="shared" si="119"/>
        <v>0.33581760713153797</v>
      </c>
      <c r="Q460" s="7">
        <f t="shared" si="123"/>
        <v>-0.28755436201957041</v>
      </c>
      <c r="R460" s="7">
        <f t="shared" si="120"/>
        <v>-0.14527219884293974</v>
      </c>
      <c r="S460" s="7">
        <f t="shared" si="124"/>
        <v>-6.1491533439523849E-2</v>
      </c>
      <c r="T460" s="7">
        <f t="shared" si="125"/>
        <v>1</v>
      </c>
      <c r="U460" s="7">
        <f t="shared" si="121"/>
        <v>0.71202347327387483</v>
      </c>
      <c r="V460" s="7">
        <f t="shared" si="126"/>
        <v>8.4218928916628133E-3</v>
      </c>
      <c r="W460" s="7">
        <f t="shared" si="127"/>
        <v>0</v>
      </c>
      <c r="X460" s="8" t="s">
        <v>3</v>
      </c>
      <c r="Y460" s="7">
        <v>0.8078504491769174</v>
      </c>
      <c r="Z460" s="7">
        <v>0.33581760713153797</v>
      </c>
      <c r="AC460" s="7">
        <f t="shared" si="128"/>
        <v>0.4810898059744777</v>
      </c>
      <c r="AD460" s="7">
        <f t="shared" si="129"/>
        <v>0.37620586614233686</v>
      </c>
      <c r="AE460" s="6" t="s">
        <v>3</v>
      </c>
      <c r="AF460" s="6" t="s">
        <v>3</v>
      </c>
      <c r="AG460" s="6" t="s">
        <v>3</v>
      </c>
      <c r="AH460" s="6" t="s">
        <v>3</v>
      </c>
      <c r="AI460" s="6" t="s">
        <v>3</v>
      </c>
      <c r="AJ460" s="6" t="s">
        <v>3</v>
      </c>
      <c r="AK460" s="5">
        <f t="shared" si="130"/>
        <v>906.50947783635036</v>
      </c>
      <c r="AL460" s="7">
        <f t="shared" si="131"/>
        <v>-0.14527219884293974</v>
      </c>
      <c r="AM460" s="7">
        <f t="shared" si="132"/>
        <v>0.71202347327387483</v>
      </c>
    </row>
    <row r="461" spans="10:39" x14ac:dyDescent="0.25">
      <c r="J461" s="3">
        <v>455</v>
      </c>
      <c r="K461" s="7">
        <v>0.81234726897357001</v>
      </c>
      <c r="L461" s="7">
        <f t="shared" si="122"/>
        <v>0.33531488748540722</v>
      </c>
      <c r="M461" s="7">
        <f t="shared" ca="1" si="117"/>
        <v>-7.3369710785435249E-2</v>
      </c>
      <c r="N461" s="7">
        <f t="shared" si="118"/>
        <v>0.81234726897357001</v>
      </c>
      <c r="O461" s="7">
        <v>0.15376278283191366</v>
      </c>
      <c r="P461" s="7">
        <f t="shared" si="119"/>
        <v>0.32797573819083947</v>
      </c>
      <c r="Q461" s="7">
        <f t="shared" si="123"/>
        <v>0.17421295535892581</v>
      </c>
      <c r="R461" s="7">
        <f t="shared" si="120"/>
        <v>-0.15429073838829588</v>
      </c>
      <c r="S461" s="7">
        <f t="shared" si="124"/>
        <v>-2.4644281697616767E-2</v>
      </c>
      <c r="T461" s="7">
        <f t="shared" si="125"/>
        <v>1</v>
      </c>
      <c r="U461" s="7">
        <f t="shared" si="121"/>
        <v>0.69975403123832369</v>
      </c>
      <c r="V461" s="7">
        <f t="shared" si="126"/>
        <v>5.1869168598608947E-2</v>
      </c>
      <c r="W461" s="7">
        <f t="shared" si="127"/>
        <v>0</v>
      </c>
      <c r="X461" s="8" t="s">
        <v>3</v>
      </c>
      <c r="Y461" s="7">
        <v>0.81234726897357001</v>
      </c>
      <c r="Z461" s="7">
        <v>0.32797573819083947</v>
      </c>
      <c r="AC461" s="7">
        <f t="shared" si="128"/>
        <v>0.48226647657913535</v>
      </c>
      <c r="AD461" s="7">
        <f t="shared" si="129"/>
        <v>0.37177829304748422</v>
      </c>
      <c r="AE461" s="6" t="s">
        <v>3</v>
      </c>
      <c r="AF461" s="6" t="s">
        <v>3</v>
      </c>
      <c r="AG461" s="6" t="s">
        <v>3</v>
      </c>
      <c r="AH461" s="6" t="s">
        <v>3</v>
      </c>
      <c r="AI461" s="6" t="s">
        <v>3</v>
      </c>
      <c r="AJ461" s="6" t="s">
        <v>3</v>
      </c>
      <c r="AK461" s="5">
        <f t="shared" si="130"/>
        <v>908.76969886671122</v>
      </c>
      <c r="AL461" s="7">
        <f t="shared" si="131"/>
        <v>-0.15429073838829588</v>
      </c>
      <c r="AM461" s="7">
        <f t="shared" si="132"/>
        <v>0.69975403123832369</v>
      </c>
    </row>
    <row r="462" spans="10:39" x14ac:dyDescent="0.25">
      <c r="J462" s="3">
        <v>456</v>
      </c>
      <c r="K462" s="7">
        <v>0.81240989501376726</v>
      </c>
      <c r="L462" s="7">
        <f t="shared" si="122"/>
        <v>0.33519663046877279</v>
      </c>
      <c r="M462" s="7">
        <f t="shared" ca="1" si="117"/>
        <v>1.0369400199433054E-2</v>
      </c>
      <c r="N462" s="7">
        <f t="shared" si="118"/>
        <v>0.81240989501376726</v>
      </c>
      <c r="O462" s="7">
        <v>0.12861818772242045</v>
      </c>
      <c r="P462" s="7">
        <f t="shared" si="119"/>
        <v>0.32786607509708832</v>
      </c>
      <c r="Q462" s="7">
        <f t="shared" si="123"/>
        <v>0.19924788737466786</v>
      </c>
      <c r="R462" s="7">
        <f t="shared" si="120"/>
        <v>-0.15441466230722423</v>
      </c>
      <c r="S462" s="7">
        <f t="shared" si="124"/>
        <v>-2.2642628002371573E-2</v>
      </c>
      <c r="T462" s="7">
        <f t="shared" si="125"/>
        <v>1</v>
      </c>
      <c r="U462" s="7">
        <f t="shared" si="121"/>
        <v>0.69958362082254788</v>
      </c>
      <c r="V462" s="7">
        <f t="shared" si="126"/>
        <v>5.4241716144512113E-2</v>
      </c>
      <c r="W462" s="7">
        <f t="shared" si="127"/>
        <v>0</v>
      </c>
      <c r="X462" s="8" t="s">
        <v>3</v>
      </c>
      <c r="Y462" s="7">
        <v>0.81240989501376726</v>
      </c>
      <c r="Z462" s="7">
        <v>0.32786607509708832</v>
      </c>
      <c r="AC462" s="7">
        <f t="shared" si="128"/>
        <v>0.48228073740431254</v>
      </c>
      <c r="AD462" s="7">
        <f t="shared" si="129"/>
        <v>0.37171754572545956</v>
      </c>
      <c r="AE462" s="6" t="s">
        <v>3</v>
      </c>
      <c r="AF462" s="6" t="s">
        <v>3</v>
      </c>
      <c r="AG462" s="6" t="s">
        <v>3</v>
      </c>
      <c r="AH462" s="6" t="s">
        <v>3</v>
      </c>
      <c r="AI462" s="6" t="s">
        <v>3</v>
      </c>
      <c r="AJ462" s="6" t="s">
        <v>3</v>
      </c>
      <c r="AK462" s="5">
        <f t="shared" si="130"/>
        <v>908.80117637737487</v>
      </c>
      <c r="AL462" s="7">
        <f t="shared" si="131"/>
        <v>-0.15441466230722423</v>
      </c>
      <c r="AM462" s="7">
        <f t="shared" si="132"/>
        <v>0.69958362082254788</v>
      </c>
    </row>
    <row r="463" spans="10:39" x14ac:dyDescent="0.25">
      <c r="J463" s="3">
        <v>457</v>
      </c>
      <c r="K463" s="7">
        <v>0.81975611466360121</v>
      </c>
      <c r="L463" s="7">
        <f t="shared" si="122"/>
        <v>0.32104197380479954</v>
      </c>
      <c r="M463" s="7">
        <f t="shared" ca="1" si="117"/>
        <v>0.28009026902929968</v>
      </c>
      <c r="N463" s="7">
        <f t="shared" si="118"/>
        <v>0.81975611466360121</v>
      </c>
      <c r="O463" s="7">
        <v>0.76980892109572174</v>
      </c>
      <c r="P463" s="7">
        <f t="shared" si="119"/>
        <v>0.31492969317223984</v>
      </c>
      <c r="Q463" s="7">
        <f t="shared" si="123"/>
        <v>-0.4548792279234819</v>
      </c>
      <c r="R463" s="7">
        <f t="shared" si="120"/>
        <v>-0.16861808320956584</v>
      </c>
      <c r="S463" s="7">
        <f t="shared" si="124"/>
        <v>-7.5074160344423005E-2</v>
      </c>
      <c r="T463" s="7">
        <f t="shared" si="125"/>
        <v>1</v>
      </c>
      <c r="U463" s="7">
        <f t="shared" si="121"/>
        <v>0.67969623504809262</v>
      </c>
      <c r="V463" s="7">
        <f t="shared" si="126"/>
        <v>-8.1551980873104363E-2</v>
      </c>
      <c r="W463" s="7">
        <f t="shared" si="127"/>
        <v>1</v>
      </c>
      <c r="X463" s="8" t="s">
        <v>3</v>
      </c>
      <c r="Y463" s="7">
        <v>0.81975611466360121</v>
      </c>
      <c r="Z463" s="7">
        <v>0.31492969317223984</v>
      </c>
      <c r="AC463" s="7">
        <f t="shared" si="128"/>
        <v>0.48354777638180568</v>
      </c>
      <c r="AD463" s="7">
        <f t="shared" si="129"/>
        <v>0.36476654187585278</v>
      </c>
      <c r="AE463" s="6" t="s">
        <v>3</v>
      </c>
      <c r="AF463" s="6" t="s">
        <v>3</v>
      </c>
      <c r="AG463" s="6" t="s">
        <v>3</v>
      </c>
      <c r="AH463" s="6" t="s">
        <v>3</v>
      </c>
      <c r="AI463" s="6" t="s">
        <v>3</v>
      </c>
      <c r="AJ463" s="6" t="s">
        <v>3</v>
      </c>
      <c r="AK463" s="5">
        <f t="shared" si="130"/>
        <v>912.49358143184577</v>
      </c>
      <c r="AL463" s="7">
        <f t="shared" si="131"/>
        <v>-0.16861808320956584</v>
      </c>
      <c r="AM463" s="7">
        <f t="shared" si="132"/>
        <v>0.67969623504809262</v>
      </c>
    </row>
    <row r="464" spans="10:39" x14ac:dyDescent="0.25">
      <c r="J464" s="3">
        <v>458</v>
      </c>
      <c r="K464" s="7">
        <v>0.82156532585932629</v>
      </c>
      <c r="L464" s="7">
        <f t="shared" si="122"/>
        <v>0.31747269852188476</v>
      </c>
      <c r="M464" s="7">
        <f t="shared" ca="1" si="117"/>
        <v>0.6754716859100347</v>
      </c>
      <c r="N464" s="7">
        <f t="shared" si="118"/>
        <v>0.82156532585932629</v>
      </c>
      <c r="O464" s="7">
        <v>0.46158290800384305</v>
      </c>
      <c r="P464" s="7">
        <f t="shared" si="119"/>
        <v>0.3117247964595804</v>
      </c>
      <c r="Q464" s="7">
        <f t="shared" si="123"/>
        <v>-0.14985811154426265</v>
      </c>
      <c r="R464" s="7">
        <f t="shared" si="120"/>
        <v>-0.17201178805949358</v>
      </c>
      <c r="S464" s="7">
        <f t="shared" si="124"/>
        <v>-5.0687575685066932E-2</v>
      </c>
      <c r="T464" s="7">
        <f t="shared" si="125"/>
        <v>1</v>
      </c>
      <c r="U464" s="7">
        <f t="shared" si="121"/>
        <v>0.67483269073515628</v>
      </c>
      <c r="V464" s="7">
        <f t="shared" si="126"/>
        <v>2.0258729359474759E-2</v>
      </c>
      <c r="W464" s="7">
        <f t="shared" si="127"/>
        <v>0</v>
      </c>
      <c r="X464" s="8" t="s">
        <v>3</v>
      </c>
      <c r="Y464" s="7">
        <v>0.82156532585932629</v>
      </c>
      <c r="Z464" s="7">
        <v>0.3117247964595804</v>
      </c>
      <c r="AC464" s="7">
        <f t="shared" si="128"/>
        <v>0.48373658451907398</v>
      </c>
      <c r="AD464" s="7">
        <f t="shared" si="129"/>
        <v>0.36310789427557588</v>
      </c>
      <c r="AE464" s="6" t="s">
        <v>3</v>
      </c>
      <c r="AF464" s="6" t="s">
        <v>3</v>
      </c>
      <c r="AG464" s="6" t="s">
        <v>3</v>
      </c>
      <c r="AH464" s="6" t="s">
        <v>3</v>
      </c>
      <c r="AI464" s="6" t="s">
        <v>3</v>
      </c>
      <c r="AJ464" s="6" t="s">
        <v>3</v>
      </c>
      <c r="AK464" s="5">
        <f t="shared" si="130"/>
        <v>913.40293901739687</v>
      </c>
      <c r="AL464" s="7">
        <f t="shared" si="131"/>
        <v>-0.17201178805949358</v>
      </c>
      <c r="AM464" s="7">
        <f t="shared" si="132"/>
        <v>0.67483269073515628</v>
      </c>
    </row>
    <row r="465" spans="10:39" x14ac:dyDescent="0.25">
      <c r="J465" s="3">
        <v>459</v>
      </c>
      <c r="K465" s="7">
        <v>0.82422935280790721</v>
      </c>
      <c r="L465" s="7">
        <f t="shared" si="122"/>
        <v>0.31215973894858395</v>
      </c>
      <c r="M465" s="7">
        <f t="shared" ca="1" si="117"/>
        <v>0.80177518724560137</v>
      </c>
      <c r="N465" s="7">
        <f t="shared" si="118"/>
        <v>0.82422935280790721</v>
      </c>
      <c r="O465" s="7">
        <v>0.30492820052286618</v>
      </c>
      <c r="P465" s="7">
        <f t="shared" si="119"/>
        <v>0.30699487391275948</v>
      </c>
      <c r="Q465" s="7">
        <f t="shared" si="123"/>
        <v>2.0666733898933032E-3</v>
      </c>
      <c r="R465" s="7">
        <f t="shared" si="120"/>
        <v>-0.17693160051759893</v>
      </c>
      <c r="S465" s="7">
        <f t="shared" si="124"/>
        <v>-3.8548784083237211E-2</v>
      </c>
      <c r="T465" s="7">
        <f t="shared" si="125"/>
        <v>1</v>
      </c>
      <c r="U465" s="7">
        <f t="shared" si="121"/>
        <v>0.66769867613522949</v>
      </c>
      <c r="V465" s="7">
        <f t="shared" si="126"/>
        <v>3.4463195183174512E-2</v>
      </c>
      <c r="W465" s="7">
        <f t="shared" si="127"/>
        <v>0</v>
      </c>
      <c r="X465" s="8" t="s">
        <v>3</v>
      </c>
      <c r="Y465" s="7">
        <v>0.82422935280790721</v>
      </c>
      <c r="Z465" s="7">
        <v>0.30699487391275948</v>
      </c>
      <c r="AC465" s="7">
        <f t="shared" si="128"/>
        <v>0.48392647443035841</v>
      </c>
      <c r="AD465" s="7">
        <f t="shared" si="129"/>
        <v>0.36070380222247</v>
      </c>
      <c r="AE465" s="6" t="s">
        <v>3</v>
      </c>
      <c r="AF465" s="6" t="s">
        <v>3</v>
      </c>
      <c r="AG465" s="6" t="s">
        <v>3</v>
      </c>
      <c r="AH465" s="6" t="s">
        <v>3</v>
      </c>
      <c r="AI465" s="6" t="s">
        <v>3</v>
      </c>
      <c r="AJ465" s="6" t="s">
        <v>3</v>
      </c>
      <c r="AK465" s="5">
        <f t="shared" si="130"/>
        <v>914.74194969759208</v>
      </c>
      <c r="AL465" s="7">
        <f t="shared" si="131"/>
        <v>-0.17693160051759893</v>
      </c>
      <c r="AM465" s="7">
        <f t="shared" si="132"/>
        <v>0.66769867613522949</v>
      </c>
    </row>
    <row r="466" spans="10:39" x14ac:dyDescent="0.25">
      <c r="J466" s="3">
        <v>460</v>
      </c>
      <c r="K466" s="7">
        <v>0.82461931942006772</v>
      </c>
      <c r="L466" s="7">
        <f t="shared" si="122"/>
        <v>0.31137640517053278</v>
      </c>
      <c r="M466" s="7">
        <f t="shared" ca="1" si="117"/>
        <v>-0.10731827402168961</v>
      </c>
      <c r="N466" s="7">
        <f t="shared" si="118"/>
        <v>0.82461931942006772</v>
      </c>
      <c r="O466" s="7">
        <v>0.31542978600031418</v>
      </c>
      <c r="P466" s="7">
        <f t="shared" si="119"/>
        <v>0.30630153553478223</v>
      </c>
      <c r="Q466" s="7">
        <f t="shared" si="123"/>
        <v>-9.1282504655319507E-3</v>
      </c>
      <c r="R466" s="7">
        <f t="shared" si="120"/>
        <v>-0.1776439620138266</v>
      </c>
      <c r="S466" s="7">
        <f t="shared" si="124"/>
        <v>-3.9445899841131261E-2</v>
      </c>
      <c r="T466" s="7">
        <f t="shared" si="125"/>
        <v>1</v>
      </c>
      <c r="U466" s="7">
        <f t="shared" si="121"/>
        <v>0.66665723603668892</v>
      </c>
      <c r="V466" s="7">
        <f t="shared" si="126"/>
        <v>3.3366607753455603E-2</v>
      </c>
      <c r="W466" s="7">
        <f t="shared" si="127"/>
        <v>0</v>
      </c>
      <c r="X466" s="8" t="s">
        <v>3</v>
      </c>
      <c r="Y466" s="7">
        <v>0.82461931942006772</v>
      </c>
      <c r="Z466" s="7">
        <v>0.30630153553478223</v>
      </c>
      <c r="AC466" s="7">
        <f t="shared" si="128"/>
        <v>0.48394549754860883</v>
      </c>
      <c r="AD466" s="7">
        <f t="shared" si="129"/>
        <v>0.36035570050190668</v>
      </c>
      <c r="AE466" s="6" t="s">
        <v>3</v>
      </c>
      <c r="AF466" s="6" t="s">
        <v>3</v>
      </c>
      <c r="AG466" s="6" t="s">
        <v>3</v>
      </c>
      <c r="AH466" s="6" t="s">
        <v>3</v>
      </c>
      <c r="AI466" s="6" t="s">
        <v>3</v>
      </c>
      <c r="AJ466" s="6" t="s">
        <v>3</v>
      </c>
      <c r="AK466" s="5">
        <f t="shared" si="130"/>
        <v>914.93795727134443</v>
      </c>
      <c r="AL466" s="7">
        <f t="shared" si="131"/>
        <v>-0.1776439620138266</v>
      </c>
      <c r="AM466" s="7">
        <f t="shared" si="132"/>
        <v>0.66665723603668892</v>
      </c>
    </row>
    <row r="467" spans="10:39" x14ac:dyDescent="0.25">
      <c r="J467" s="3">
        <v>461</v>
      </c>
      <c r="K467" s="7">
        <v>0.82524761317827688</v>
      </c>
      <c r="L467" s="7">
        <f t="shared" si="122"/>
        <v>0.31011137233770247</v>
      </c>
      <c r="M467" s="7">
        <f t="shared" ca="1" si="117"/>
        <v>0.36644358537993865</v>
      </c>
      <c r="N467" s="7">
        <f t="shared" si="118"/>
        <v>0.82524761317827688</v>
      </c>
      <c r="O467" s="7">
        <v>0.61225135121375285</v>
      </c>
      <c r="P467" s="7">
        <f t="shared" si="119"/>
        <v>0.30518399570511967</v>
      </c>
      <c r="Q467" s="7">
        <f t="shared" si="123"/>
        <v>-0.30706735550863318</v>
      </c>
      <c r="R467" s="7">
        <f t="shared" si="120"/>
        <v>-0.1787874537712133</v>
      </c>
      <c r="S467" s="7">
        <f t="shared" si="124"/>
        <v>-6.3283104398797294E-2</v>
      </c>
      <c r="T467" s="7">
        <f t="shared" si="125"/>
        <v>1</v>
      </c>
      <c r="U467" s="7">
        <f t="shared" si="121"/>
        <v>0.66498089931934978</v>
      </c>
      <c r="V467" s="7">
        <f t="shared" si="126"/>
        <v>5.0093070700317089E-3</v>
      </c>
      <c r="W467" s="7">
        <f t="shared" si="127"/>
        <v>0</v>
      </c>
      <c r="X467" s="8" t="s">
        <v>3</v>
      </c>
      <c r="Y467" s="7">
        <v>0.82524761317827688</v>
      </c>
      <c r="Z467" s="7">
        <v>0.30518399570511967</v>
      </c>
      <c r="AC467" s="7">
        <f t="shared" si="128"/>
        <v>0.48397144947633297</v>
      </c>
      <c r="AD467" s="7">
        <f t="shared" si="129"/>
        <v>0.35979690361423011</v>
      </c>
      <c r="AE467" s="6" t="s">
        <v>3</v>
      </c>
      <c r="AF467" s="6" t="s">
        <v>3</v>
      </c>
      <c r="AG467" s="6" t="s">
        <v>3</v>
      </c>
      <c r="AH467" s="6" t="s">
        <v>3</v>
      </c>
      <c r="AI467" s="6" t="s">
        <v>3</v>
      </c>
      <c r="AJ467" s="6" t="s">
        <v>3</v>
      </c>
      <c r="AK467" s="5">
        <f t="shared" si="130"/>
        <v>915.25375439681648</v>
      </c>
      <c r="AL467" s="7">
        <f t="shared" si="131"/>
        <v>-0.1787874537712133</v>
      </c>
      <c r="AM467" s="7">
        <f t="shared" si="132"/>
        <v>0.66498089931934978</v>
      </c>
    </row>
    <row r="468" spans="10:39" x14ac:dyDescent="0.25">
      <c r="J468" s="3">
        <v>462</v>
      </c>
      <c r="K468" s="7">
        <v>0.84996856278064437</v>
      </c>
      <c r="L468" s="7">
        <f t="shared" si="122"/>
        <v>0.25778597790700097</v>
      </c>
      <c r="M468" s="7">
        <f t="shared" ca="1" si="117"/>
        <v>0.12388045890693435</v>
      </c>
      <c r="N468" s="7">
        <f t="shared" si="118"/>
        <v>0.84996856278064437</v>
      </c>
      <c r="O468" s="7">
        <v>-0.31067954865984154</v>
      </c>
      <c r="P468" s="7">
        <f t="shared" si="119"/>
        <v>0.26106205327073129</v>
      </c>
      <c r="Q468" s="7">
        <f t="shared" si="123"/>
        <v>0.57174160193057277</v>
      </c>
      <c r="R468" s="7">
        <f t="shared" si="120"/>
        <v>-0.21950468654491928</v>
      </c>
      <c r="S468" s="7">
        <f t="shared" si="124"/>
        <v>8.388087314572848E-2</v>
      </c>
      <c r="T468" s="7">
        <f t="shared" si="125"/>
        <v>0</v>
      </c>
      <c r="U468" s="7">
        <f t="shared" si="121"/>
        <v>0.60083736586107217</v>
      </c>
      <c r="V468" s="7">
        <f t="shared" si="126"/>
        <v>8.6594106879486793E-2</v>
      </c>
      <c r="W468" s="7">
        <f t="shared" si="127"/>
        <v>0</v>
      </c>
      <c r="X468" s="8" t="s">
        <v>3</v>
      </c>
      <c r="Y468" s="7">
        <v>0.84996856278064437</v>
      </c>
      <c r="Z468" s="7">
        <v>0.26106205327073129</v>
      </c>
      <c r="AC468" s="7">
        <f t="shared" si="128"/>
        <v>0.48056673981565057</v>
      </c>
      <c r="AD468" s="7">
        <f t="shared" si="129"/>
        <v>0.33977531259034088</v>
      </c>
      <c r="AE468" s="6" t="s">
        <v>3</v>
      </c>
      <c r="AF468" s="6" t="s">
        <v>3</v>
      </c>
      <c r="AG468" s="6" t="s">
        <v>3</v>
      </c>
      <c r="AH468" s="6" t="s">
        <v>3</v>
      </c>
      <c r="AI468" s="6" t="s">
        <v>3</v>
      </c>
      <c r="AJ468" s="6" t="s">
        <v>3</v>
      </c>
      <c r="AK468" s="5">
        <f t="shared" si="130"/>
        <v>927.67916006313988</v>
      </c>
      <c r="AL468" s="7">
        <f t="shared" si="131"/>
        <v>-0.21950468654491928</v>
      </c>
      <c r="AM468" s="7">
        <f t="shared" si="132"/>
        <v>0.60083736586107217</v>
      </c>
    </row>
    <row r="469" spans="10:39" x14ac:dyDescent="0.25">
      <c r="J469" s="3">
        <v>463</v>
      </c>
      <c r="K469" s="7">
        <v>0.85876583922885175</v>
      </c>
      <c r="L469" s="7">
        <f t="shared" si="122"/>
        <v>0.23821105206460291</v>
      </c>
      <c r="M469" s="7">
        <f t="shared" ca="1" si="117"/>
        <v>0.11137823666950082</v>
      </c>
      <c r="N469" s="7">
        <f t="shared" si="118"/>
        <v>0.85876583922885175</v>
      </c>
      <c r="O469" s="7">
        <v>-0.10774657172411528</v>
      </c>
      <c r="P469" s="7">
        <f t="shared" si="119"/>
        <v>0.24547183411810236</v>
      </c>
      <c r="Q469" s="7">
        <f t="shared" si="123"/>
        <v>0.35321840584221764</v>
      </c>
      <c r="R469" s="7">
        <f t="shared" si="120"/>
        <v>-0.23195317240118918</v>
      </c>
      <c r="S469" s="7">
        <f t="shared" si="124"/>
        <v>-9.9365280541659114E-3</v>
      </c>
      <c r="T469" s="7">
        <f t="shared" si="125"/>
        <v>1</v>
      </c>
      <c r="U469" s="7">
        <f t="shared" si="121"/>
        <v>0.57900984177431636</v>
      </c>
      <c r="V469" s="7">
        <f t="shared" si="126"/>
        <v>6.5241859282351003E-2</v>
      </c>
      <c r="W469" s="7">
        <f t="shared" si="127"/>
        <v>0</v>
      </c>
      <c r="X469" s="8" t="s">
        <v>3</v>
      </c>
      <c r="Y469" s="7">
        <v>0.85876583922885175</v>
      </c>
      <c r="Z469" s="7">
        <v>0.24547183411810236</v>
      </c>
      <c r="AC469" s="7">
        <f t="shared" si="128"/>
        <v>0.47742500651929154</v>
      </c>
      <c r="AD469" s="7">
        <f t="shared" si="129"/>
        <v>0.333538007656214</v>
      </c>
      <c r="AE469" s="6" t="s">
        <v>3</v>
      </c>
      <c r="AF469" s="6" t="s">
        <v>3</v>
      </c>
      <c r="AG469" s="6" t="s">
        <v>3</v>
      </c>
      <c r="AH469" s="6" t="s">
        <v>3</v>
      </c>
      <c r="AI469" s="6" t="s">
        <v>3</v>
      </c>
      <c r="AJ469" s="6" t="s">
        <v>3</v>
      </c>
      <c r="AK469" s="5">
        <f t="shared" si="130"/>
        <v>932.1009047932572</v>
      </c>
      <c r="AL469" s="7">
        <f t="shared" si="131"/>
        <v>-0.23195317240118918</v>
      </c>
      <c r="AM469" s="7">
        <f t="shared" si="132"/>
        <v>0.57900984177431636</v>
      </c>
    </row>
    <row r="470" spans="10:39" x14ac:dyDescent="0.25">
      <c r="J470" s="3">
        <v>464</v>
      </c>
      <c r="K470" s="7">
        <v>0.86192118286878006</v>
      </c>
      <c r="L470" s="7">
        <f t="shared" si="122"/>
        <v>0.2311056504815778</v>
      </c>
      <c r="M470" s="7">
        <f t="shared" ca="1" si="117"/>
        <v>3.5413312989206663E-2</v>
      </c>
      <c r="N470" s="7">
        <f t="shared" si="118"/>
        <v>0.86192118286878006</v>
      </c>
      <c r="O470" s="7">
        <v>0.31356363651570829</v>
      </c>
      <c r="P470" s="7">
        <f t="shared" si="119"/>
        <v>0.23991757486119214</v>
      </c>
      <c r="Q470" s="7">
        <f t="shared" si="123"/>
        <v>-7.3646061654516148E-2</v>
      </c>
      <c r="R470" s="7">
        <f t="shared" si="120"/>
        <v>-0.23615991166186845</v>
      </c>
      <c r="S470" s="7">
        <f t="shared" si="124"/>
        <v>-4.3977883854206139E-2</v>
      </c>
      <c r="T470" s="7">
        <f t="shared" si="125"/>
        <v>1</v>
      </c>
      <c r="U470" s="7">
        <f t="shared" si="121"/>
        <v>0.57132536386005817</v>
      </c>
      <c r="V470" s="7">
        <f t="shared" si="126"/>
        <v>2.4487364097713238E-2</v>
      </c>
      <c r="W470" s="7">
        <f t="shared" si="127"/>
        <v>0</v>
      </c>
      <c r="X470" s="8" t="s">
        <v>3</v>
      </c>
      <c r="Y470" s="7">
        <v>0.86192118286878006</v>
      </c>
      <c r="Z470" s="7">
        <v>0.23991757486119214</v>
      </c>
      <c r="AC470" s="7">
        <f t="shared" si="128"/>
        <v>0.47607748652306059</v>
      </c>
      <c r="AD470" s="7">
        <f t="shared" si="129"/>
        <v>0.33140778899886603</v>
      </c>
      <c r="AE470" s="6" t="s">
        <v>3</v>
      </c>
      <c r="AF470" s="6" t="s">
        <v>3</v>
      </c>
      <c r="AG470" s="6" t="s">
        <v>3</v>
      </c>
      <c r="AH470" s="6" t="s">
        <v>3</v>
      </c>
      <c r="AI470" s="6" t="s">
        <v>3</v>
      </c>
      <c r="AJ470" s="6" t="s">
        <v>3</v>
      </c>
      <c r="AK470" s="5">
        <f t="shared" si="130"/>
        <v>933.68686428807405</v>
      </c>
      <c r="AL470" s="7">
        <f t="shared" si="131"/>
        <v>-0.23615991166186845</v>
      </c>
      <c r="AM470" s="7">
        <f t="shared" si="132"/>
        <v>0.57132536386005817</v>
      </c>
    </row>
    <row r="471" spans="10:39" x14ac:dyDescent="0.25">
      <c r="J471" s="3">
        <v>465</v>
      </c>
      <c r="K471" s="7">
        <v>0.86526701689152197</v>
      </c>
      <c r="L471" s="7">
        <f t="shared" si="122"/>
        <v>0.22353268643175711</v>
      </c>
      <c r="M471" s="7">
        <f t="shared" ca="1" si="117"/>
        <v>6.0978238225334713E-2</v>
      </c>
      <c r="N471" s="7">
        <f t="shared" si="118"/>
        <v>0.86526701689152197</v>
      </c>
      <c r="O471" s="7">
        <v>-6.6878230511196818E-2</v>
      </c>
      <c r="P471" s="7">
        <f t="shared" si="119"/>
        <v>0.23405477045294854</v>
      </c>
      <c r="Q471" s="7">
        <f t="shared" si="123"/>
        <v>0.30093300096414533</v>
      </c>
      <c r="R471" s="7">
        <f t="shared" si="120"/>
        <v>-0.24047392456460859</v>
      </c>
      <c r="S471" s="7">
        <f t="shared" si="124"/>
        <v>-1.3887655524272942E-2</v>
      </c>
      <c r="T471" s="7">
        <f t="shared" si="125"/>
        <v>1</v>
      </c>
      <c r="U471" s="7">
        <f t="shared" si="121"/>
        <v>0.56326351038742817</v>
      </c>
      <c r="V471" s="7">
        <f t="shared" si="126"/>
        <v>5.9863465385369373E-2</v>
      </c>
      <c r="W471" s="7">
        <f t="shared" si="127"/>
        <v>0</v>
      </c>
      <c r="X471" s="8" t="s">
        <v>3</v>
      </c>
      <c r="Y471" s="7">
        <v>0.86526701689152197</v>
      </c>
      <c r="Z471" s="7">
        <v>0.23405477045294854</v>
      </c>
      <c r="AC471" s="7">
        <f t="shared" si="128"/>
        <v>0.47452869501755712</v>
      </c>
      <c r="AD471" s="7">
        <f t="shared" si="129"/>
        <v>0.32920873993447963</v>
      </c>
      <c r="AE471" s="6" t="s">
        <v>3</v>
      </c>
      <c r="AF471" s="6" t="s">
        <v>3</v>
      </c>
      <c r="AG471" s="6" t="s">
        <v>3</v>
      </c>
      <c r="AH471" s="6" t="s">
        <v>3</v>
      </c>
      <c r="AI471" s="6" t="s">
        <v>3</v>
      </c>
      <c r="AJ471" s="6" t="s">
        <v>3</v>
      </c>
      <c r="AK471" s="5">
        <f t="shared" si="130"/>
        <v>935.36856930723616</v>
      </c>
      <c r="AL471" s="7">
        <f t="shared" si="131"/>
        <v>-0.24047392456460859</v>
      </c>
      <c r="AM471" s="7">
        <f t="shared" si="132"/>
        <v>0.56326351038742817</v>
      </c>
    </row>
    <row r="472" spans="10:39" x14ac:dyDescent="0.25">
      <c r="J472" s="3">
        <v>466</v>
      </c>
      <c r="K472" s="7">
        <v>0.86646057759272588</v>
      </c>
      <c r="L472" s="7">
        <f t="shared" si="122"/>
        <v>0.22082288151959101</v>
      </c>
      <c r="M472" s="7">
        <f t="shared" ca="1" si="117"/>
        <v>0.18243973326287702</v>
      </c>
      <c r="N472" s="7">
        <f t="shared" si="118"/>
        <v>0.86646057759272588</v>
      </c>
      <c r="O472" s="7">
        <v>0.47697352405796045</v>
      </c>
      <c r="P472" s="7">
        <f t="shared" si="119"/>
        <v>0.23197061326226542</v>
      </c>
      <c r="Q472" s="7">
        <f t="shared" si="123"/>
        <v>-0.24500291079569503</v>
      </c>
      <c r="R472" s="7">
        <f t="shared" si="120"/>
        <v>-0.24197666875468204</v>
      </c>
      <c r="S472" s="7">
        <f t="shared" si="124"/>
        <v>-5.7516015425011398E-2</v>
      </c>
      <c r="T472" s="7">
        <f t="shared" si="125"/>
        <v>1</v>
      </c>
      <c r="U472" s="7">
        <f t="shared" si="121"/>
        <v>0.56040952362505903</v>
      </c>
      <c r="V472" s="7">
        <f t="shared" si="126"/>
        <v>7.9264199588743641E-3</v>
      </c>
      <c r="W472" s="7">
        <f t="shared" si="127"/>
        <v>0</v>
      </c>
      <c r="X472" s="8" t="s">
        <v>3</v>
      </c>
      <c r="Y472" s="7">
        <v>0.86646057759272588</v>
      </c>
      <c r="Z472" s="7">
        <v>0.23197061326226542</v>
      </c>
      <c r="AC472" s="7">
        <f t="shared" si="128"/>
        <v>0.47394728201694747</v>
      </c>
      <c r="AD472" s="7">
        <f t="shared" si="129"/>
        <v>0.3284389103627936</v>
      </c>
      <c r="AE472" s="6" t="s">
        <v>3</v>
      </c>
      <c r="AF472" s="6" t="s">
        <v>3</v>
      </c>
      <c r="AG472" s="6" t="s">
        <v>3</v>
      </c>
      <c r="AH472" s="6" t="s">
        <v>3</v>
      </c>
      <c r="AI472" s="6" t="s">
        <v>3</v>
      </c>
      <c r="AJ472" s="6" t="s">
        <v>3</v>
      </c>
      <c r="AK472" s="5">
        <f t="shared" si="130"/>
        <v>935.96848460735146</v>
      </c>
      <c r="AL472" s="7">
        <f t="shared" si="131"/>
        <v>-0.24197666875468204</v>
      </c>
      <c r="AM472" s="7">
        <f t="shared" si="132"/>
        <v>0.56040952362505903</v>
      </c>
    </row>
    <row r="473" spans="10:39" x14ac:dyDescent="0.25">
      <c r="J473" s="3">
        <v>467</v>
      </c>
      <c r="K473" s="7">
        <v>0.86736821677069043</v>
      </c>
      <c r="L473" s="7">
        <f t="shared" si="122"/>
        <v>0.21875963399942339</v>
      </c>
      <c r="M473" s="7">
        <f t="shared" ca="1" si="117"/>
        <v>5.5655899926778232E-2</v>
      </c>
      <c r="N473" s="7">
        <f t="shared" si="118"/>
        <v>0.86736821677069043</v>
      </c>
      <c r="O473" s="7">
        <v>0.25924602153043852</v>
      </c>
      <c r="P473" s="7">
        <f t="shared" si="119"/>
        <v>0.23038843656370034</v>
      </c>
      <c r="Q473" s="7">
        <f t="shared" si="123"/>
        <v>-2.8857584966738181E-2</v>
      </c>
      <c r="R473" s="7">
        <f t="shared" si="120"/>
        <v>-0.24310677786704105</v>
      </c>
      <c r="S473" s="7">
        <f t="shared" si="124"/>
        <v>-4.0188223951798364E-2</v>
      </c>
      <c r="T473" s="7">
        <f t="shared" si="125"/>
        <v>1</v>
      </c>
      <c r="U473" s="7">
        <f t="shared" si="121"/>
        <v>0.5582470214619033</v>
      </c>
      <c r="V473" s="7">
        <f t="shared" si="126"/>
        <v>2.8405094993489154E-2</v>
      </c>
      <c r="W473" s="7">
        <f t="shared" si="127"/>
        <v>0</v>
      </c>
      <c r="X473" s="8" t="s">
        <v>3</v>
      </c>
      <c r="Y473" s="7">
        <v>0.86736821677069043</v>
      </c>
      <c r="Z473" s="7">
        <v>0.23038843656370034</v>
      </c>
      <c r="AC473" s="7">
        <f t="shared" si="128"/>
        <v>0.47349521443074138</v>
      </c>
      <c r="AD473" s="7">
        <f t="shared" si="129"/>
        <v>0.32785858489820296</v>
      </c>
      <c r="AE473" s="6" t="s">
        <v>3</v>
      </c>
      <c r="AF473" s="6" t="s">
        <v>3</v>
      </c>
      <c r="AG473" s="6" t="s">
        <v>3</v>
      </c>
      <c r="AH473" s="6" t="s">
        <v>3</v>
      </c>
      <c r="AI473" s="6" t="s">
        <v>3</v>
      </c>
      <c r="AJ473" s="6" t="s">
        <v>3</v>
      </c>
      <c r="AK473" s="5">
        <f t="shared" si="130"/>
        <v>936.42468815803454</v>
      </c>
      <c r="AL473" s="7">
        <f t="shared" si="131"/>
        <v>-0.24310677786704105</v>
      </c>
      <c r="AM473" s="7">
        <f t="shared" si="132"/>
        <v>0.5582470214619033</v>
      </c>
    </row>
    <row r="474" spans="10:39" x14ac:dyDescent="0.25">
      <c r="J474" s="3">
        <v>468</v>
      </c>
      <c r="K474" s="7">
        <v>0.87071353596203505</v>
      </c>
      <c r="L474" s="7">
        <f t="shared" si="122"/>
        <v>0.21113831525127574</v>
      </c>
      <c r="M474" s="7">
        <f t="shared" ca="1" si="117"/>
        <v>0.21635422575364796</v>
      </c>
      <c r="N474" s="7">
        <f t="shared" si="118"/>
        <v>0.87071353596203505</v>
      </c>
      <c r="O474" s="7">
        <v>-0.33009078893481208</v>
      </c>
      <c r="P474" s="7">
        <f t="shared" si="119"/>
        <v>0.22457828356954446</v>
      </c>
      <c r="Q474" s="7">
        <f t="shared" si="123"/>
        <v>0.5546690725043566</v>
      </c>
      <c r="R474" s="7">
        <f t="shared" si="120"/>
        <v>-0.24717845754133094</v>
      </c>
      <c r="S474" s="7">
        <f t="shared" si="124"/>
        <v>7.627934488200265E-2</v>
      </c>
      <c r="T474" s="7">
        <f t="shared" si="125"/>
        <v>0</v>
      </c>
      <c r="U474" s="7">
        <f t="shared" si="121"/>
        <v>0.55033542011343095</v>
      </c>
      <c r="V474" s="7">
        <f t="shared" si="126"/>
        <v>8.3640489859583098E-2</v>
      </c>
      <c r="W474" s="7">
        <f t="shared" si="127"/>
        <v>0</v>
      </c>
      <c r="X474" s="8" t="s">
        <v>3</v>
      </c>
      <c r="Y474" s="7">
        <v>0.87071353596203505</v>
      </c>
      <c r="Z474" s="7">
        <v>0.22457828356954446</v>
      </c>
      <c r="AC474" s="7">
        <f t="shared" si="128"/>
        <v>0.4717567411108754</v>
      </c>
      <c r="AD474" s="7">
        <f t="shared" si="129"/>
        <v>0.32575713654388649</v>
      </c>
      <c r="AE474" s="6" t="s">
        <v>3</v>
      </c>
      <c r="AF474" s="6" t="s">
        <v>3</v>
      </c>
      <c r="AG474" s="6" t="s">
        <v>3</v>
      </c>
      <c r="AH474" s="6" t="s">
        <v>3</v>
      </c>
      <c r="AI474" s="6" t="s">
        <v>3</v>
      </c>
      <c r="AJ474" s="6" t="s">
        <v>3</v>
      </c>
      <c r="AK474" s="5">
        <f t="shared" si="130"/>
        <v>938.10613440926647</v>
      </c>
      <c r="AL474" s="7">
        <f t="shared" si="131"/>
        <v>-0.24717845754133094</v>
      </c>
      <c r="AM474" s="7">
        <f t="shared" si="132"/>
        <v>0.55033542011343095</v>
      </c>
    </row>
    <row r="475" spans="10:39" x14ac:dyDescent="0.25">
      <c r="J475" s="3">
        <v>469</v>
      </c>
      <c r="K475" s="7">
        <v>0.87191227231929713</v>
      </c>
      <c r="L475" s="7">
        <f t="shared" si="122"/>
        <v>0.2084019401964339</v>
      </c>
      <c r="M475" s="7">
        <f t="shared" ca="1" si="117"/>
        <v>0.19622990625849207</v>
      </c>
      <c r="N475" s="7">
        <f t="shared" si="118"/>
        <v>0.87191227231929713</v>
      </c>
      <c r="O475" s="7">
        <v>0.15163046558652624</v>
      </c>
      <c r="P475" s="7">
        <f t="shared" si="119"/>
        <v>0.22250489518097627</v>
      </c>
      <c r="Q475" s="7">
        <f t="shared" si="123"/>
        <v>7.0874429594450034E-2</v>
      </c>
      <c r="R475" s="7">
        <f t="shared" si="120"/>
        <v>-0.24860193618178439</v>
      </c>
      <c r="S475" s="7">
        <f t="shared" si="124"/>
        <v>-3.2018592141464852E-2</v>
      </c>
      <c r="T475" s="7">
        <f t="shared" si="125"/>
        <v>1</v>
      </c>
      <c r="U475" s="7">
        <f t="shared" si="121"/>
        <v>0.54752317541191942</v>
      </c>
      <c r="V475" s="7">
        <f t="shared" si="126"/>
        <v>3.760980743341235E-2</v>
      </c>
      <c r="W475" s="7">
        <f t="shared" si="127"/>
        <v>0</v>
      </c>
      <c r="X475" s="8" t="s">
        <v>3</v>
      </c>
      <c r="Y475" s="7">
        <v>0.87191227231929713</v>
      </c>
      <c r="Z475" s="7">
        <v>0.22250489518097627</v>
      </c>
      <c r="AC475" s="7">
        <f t="shared" si="128"/>
        <v>0.47110683136276066</v>
      </c>
      <c r="AD475" s="7">
        <f t="shared" si="129"/>
        <v>0.32501828023094315</v>
      </c>
      <c r="AE475" s="6" t="s">
        <v>3</v>
      </c>
      <c r="AF475" s="6" t="s">
        <v>3</v>
      </c>
      <c r="AG475" s="6" t="s">
        <v>3</v>
      </c>
      <c r="AH475" s="6" t="s">
        <v>3</v>
      </c>
      <c r="AI475" s="6" t="s">
        <v>3</v>
      </c>
      <c r="AJ475" s="6" t="s">
        <v>3</v>
      </c>
      <c r="AK475" s="5">
        <f t="shared" si="130"/>
        <v>938.70865113154184</v>
      </c>
      <c r="AL475" s="7">
        <f t="shared" si="131"/>
        <v>-0.24860193618178439</v>
      </c>
      <c r="AM475" s="7">
        <f t="shared" si="132"/>
        <v>0.54752317541191942</v>
      </c>
    </row>
    <row r="476" spans="10:39" x14ac:dyDescent="0.25">
      <c r="J476" s="3">
        <v>470</v>
      </c>
      <c r="K476" s="7">
        <v>0.87762800893390525</v>
      </c>
      <c r="L476" s="7">
        <f t="shared" si="122"/>
        <v>0.19532926708989864</v>
      </c>
      <c r="M476" s="7">
        <f t="shared" ca="1" si="117"/>
        <v>8.6028437569189292E-2</v>
      </c>
      <c r="N476" s="7">
        <f t="shared" si="118"/>
        <v>0.87762800893390525</v>
      </c>
      <c r="O476" s="7">
        <v>0.42248684019627802</v>
      </c>
      <c r="P476" s="7">
        <f t="shared" si="119"/>
        <v>0.21268634915145679</v>
      </c>
      <c r="Q476" s="7">
        <f t="shared" si="123"/>
        <v>-0.20980049104482124</v>
      </c>
      <c r="R476" s="7">
        <f t="shared" si="120"/>
        <v>-0.25513586871678484</v>
      </c>
      <c r="S476" s="7">
        <f t="shared" si="124"/>
        <v>-5.4209816713045034E-2</v>
      </c>
      <c r="T476" s="7">
        <f t="shared" si="125"/>
        <v>1</v>
      </c>
      <c r="U476" s="7">
        <f t="shared" si="121"/>
        <v>0.53428178594585729</v>
      </c>
      <c r="V476" s="7">
        <f t="shared" si="126"/>
        <v>1.0620519846210031E-2</v>
      </c>
      <c r="W476" s="7">
        <f t="shared" si="127"/>
        <v>0</v>
      </c>
      <c r="X476" s="8" t="s">
        <v>3</v>
      </c>
      <c r="Y476" s="7">
        <v>0.87762800893390525</v>
      </c>
      <c r="Z476" s="7">
        <v>0.21268634915145679</v>
      </c>
      <c r="AC476" s="7">
        <f t="shared" si="128"/>
        <v>0.46782221786824163</v>
      </c>
      <c r="AD476" s="7">
        <f t="shared" si="129"/>
        <v>0.3215954367944005</v>
      </c>
      <c r="AE476" s="6" t="s">
        <v>3</v>
      </c>
      <c r="AF476" s="6" t="s">
        <v>3</v>
      </c>
      <c r="AG476" s="6" t="s">
        <v>3</v>
      </c>
      <c r="AH476" s="6" t="s">
        <v>3</v>
      </c>
      <c r="AI476" s="6" t="s">
        <v>3</v>
      </c>
      <c r="AJ476" s="6" t="s">
        <v>3</v>
      </c>
      <c r="AK476" s="5">
        <f t="shared" si="130"/>
        <v>941.58153211955857</v>
      </c>
      <c r="AL476" s="7">
        <f t="shared" si="131"/>
        <v>-0.25513586871678484</v>
      </c>
      <c r="AM476" s="7">
        <f t="shared" si="132"/>
        <v>0.53428178594585729</v>
      </c>
    </row>
    <row r="477" spans="10:39" x14ac:dyDescent="0.25">
      <c r="J477" s="3">
        <v>471</v>
      </c>
      <c r="K477" s="7">
        <v>0.87767993536837086</v>
      </c>
      <c r="L477" s="7">
        <f t="shared" si="122"/>
        <v>0.19521038646798206</v>
      </c>
      <c r="M477" s="7">
        <f t="shared" ca="1" si="117"/>
        <v>0.26949812273096369</v>
      </c>
      <c r="N477" s="7">
        <f t="shared" si="118"/>
        <v>0.87767993536837086</v>
      </c>
      <c r="O477" s="7">
        <v>-9.1455199266471054E-2</v>
      </c>
      <c r="P477" s="7">
        <f t="shared" si="119"/>
        <v>0.21259768905730914</v>
      </c>
      <c r="Q477" s="7">
        <f t="shared" si="123"/>
        <v>0.30405288832378019</v>
      </c>
      <c r="R477" s="7">
        <f t="shared" si="120"/>
        <v>-0.25519333213505657</v>
      </c>
      <c r="S477" s="7">
        <f t="shared" si="124"/>
        <v>-1.3099050629486842E-2</v>
      </c>
      <c r="T477" s="7">
        <f t="shared" si="125"/>
        <v>1</v>
      </c>
      <c r="U477" s="7">
        <f t="shared" si="121"/>
        <v>0.53416277498940845</v>
      </c>
      <c r="V477" s="7">
        <f t="shared" si="126"/>
        <v>5.9433707554308553E-2</v>
      </c>
      <c r="W477" s="7">
        <f t="shared" si="127"/>
        <v>0</v>
      </c>
      <c r="X477" s="8" t="s">
        <v>3</v>
      </c>
      <c r="Y477" s="7">
        <v>0.87767993536837086</v>
      </c>
      <c r="Z477" s="7">
        <v>0.21259768905730914</v>
      </c>
      <c r="AC477" s="7">
        <f t="shared" si="128"/>
        <v>0.46779102119236571</v>
      </c>
      <c r="AD477" s="7">
        <f t="shared" si="129"/>
        <v>0.32156508593209931</v>
      </c>
      <c r="AE477" s="6" t="s">
        <v>3</v>
      </c>
      <c r="AF477" s="6" t="s">
        <v>3</v>
      </c>
      <c r="AG477" s="6" t="s">
        <v>3</v>
      </c>
      <c r="AH477" s="6" t="s">
        <v>3</v>
      </c>
      <c r="AI477" s="6" t="s">
        <v>3</v>
      </c>
      <c r="AJ477" s="6" t="s">
        <v>3</v>
      </c>
      <c r="AK477" s="5">
        <f t="shared" si="130"/>
        <v>941.60763172428335</v>
      </c>
      <c r="AL477" s="7">
        <f t="shared" si="131"/>
        <v>-0.25519333213505657</v>
      </c>
      <c r="AM477" s="7">
        <f t="shared" si="132"/>
        <v>0.53416277498940845</v>
      </c>
    </row>
    <row r="478" spans="10:39" x14ac:dyDescent="0.25">
      <c r="J478" s="3">
        <v>472</v>
      </c>
      <c r="K478" s="7">
        <v>0.87994902286469068</v>
      </c>
      <c r="L478" s="7">
        <f t="shared" si="122"/>
        <v>0.19001498515363138</v>
      </c>
      <c r="M478" s="7">
        <f t="shared" ca="1" si="117"/>
        <v>0.23439361096166444</v>
      </c>
      <c r="N478" s="7">
        <f t="shared" si="118"/>
        <v>0.87994902286469068</v>
      </c>
      <c r="O478" s="7">
        <v>0.21576191087829025</v>
      </c>
      <c r="P478" s="7">
        <f t="shared" si="119"/>
        <v>0.20873343001608369</v>
      </c>
      <c r="Q478" s="7">
        <f t="shared" si="123"/>
        <v>-7.0284808622065598E-3</v>
      </c>
      <c r="R478" s="7">
        <f t="shared" si="120"/>
        <v>-0.25767154366013489</v>
      </c>
      <c r="S478" s="7">
        <f t="shared" si="124"/>
        <v>-3.7874676363074011E-2</v>
      </c>
      <c r="T478" s="7">
        <f t="shared" si="125"/>
        <v>1</v>
      </c>
      <c r="U478" s="7">
        <f t="shared" si="121"/>
        <v>0.52898506125525824</v>
      </c>
      <c r="V478" s="7">
        <f t="shared" si="126"/>
        <v>2.9756199285811961E-2</v>
      </c>
      <c r="W478" s="7">
        <f t="shared" si="127"/>
        <v>0</v>
      </c>
      <c r="X478" s="8" t="s">
        <v>3</v>
      </c>
      <c r="Y478" s="7">
        <v>0.87994902286469068</v>
      </c>
      <c r="Z478" s="7">
        <v>0.20873343001608369</v>
      </c>
      <c r="AC478" s="7">
        <f t="shared" si="128"/>
        <v>0.46640497367621858</v>
      </c>
      <c r="AD478" s="7">
        <f t="shared" si="129"/>
        <v>0.32025163123917455</v>
      </c>
      <c r="AE478" s="6" t="s">
        <v>3</v>
      </c>
      <c r="AF478" s="6" t="s">
        <v>3</v>
      </c>
      <c r="AG478" s="6" t="s">
        <v>3</v>
      </c>
      <c r="AH478" s="6" t="s">
        <v>3</v>
      </c>
      <c r="AI478" s="6" t="s">
        <v>3</v>
      </c>
      <c r="AJ478" s="6" t="s">
        <v>3</v>
      </c>
      <c r="AK478" s="5">
        <f t="shared" si="130"/>
        <v>942.74813534925147</v>
      </c>
      <c r="AL478" s="7">
        <f t="shared" si="131"/>
        <v>-0.25767154366013489</v>
      </c>
      <c r="AM478" s="7">
        <f t="shared" si="132"/>
        <v>0.52898506125525824</v>
      </c>
    </row>
    <row r="479" spans="10:39" x14ac:dyDescent="0.25">
      <c r="J479" s="3">
        <v>473</v>
      </c>
      <c r="K479" s="7">
        <v>0.88136814014125475</v>
      </c>
      <c r="L479" s="7">
        <f t="shared" si="122"/>
        <v>0.18676589699402082</v>
      </c>
      <c r="M479" s="7">
        <f t="shared" ca="1" si="117"/>
        <v>0.23777938089461484</v>
      </c>
      <c r="N479" s="7">
        <f t="shared" si="118"/>
        <v>0.88136814014125475</v>
      </c>
      <c r="O479" s="7">
        <v>0.43953533984609428</v>
      </c>
      <c r="P479" s="7">
        <f t="shared" si="119"/>
        <v>0.20632686760499119</v>
      </c>
      <c r="Q479" s="7">
        <f t="shared" si="123"/>
        <v>-0.23320847224110308</v>
      </c>
      <c r="R479" s="7">
        <f t="shared" si="120"/>
        <v>-0.25918906815569631</v>
      </c>
      <c r="S479" s="7">
        <f t="shared" si="124"/>
        <v>-5.5897952640143245E-2</v>
      </c>
      <c r="T479" s="7">
        <f t="shared" si="125"/>
        <v>1</v>
      </c>
      <c r="U479" s="7">
        <f t="shared" si="121"/>
        <v>0.52576965735610637</v>
      </c>
      <c r="V479" s="7">
        <f t="shared" si="126"/>
        <v>8.1922601634511483E-3</v>
      </c>
      <c r="W479" s="7">
        <f t="shared" si="127"/>
        <v>0</v>
      </c>
      <c r="X479" s="8" t="s">
        <v>3</v>
      </c>
      <c r="Y479" s="7">
        <v>0.88136814014125475</v>
      </c>
      <c r="Z479" s="7">
        <v>0.20632686760499119</v>
      </c>
      <c r="AC479" s="7">
        <f t="shared" si="128"/>
        <v>0.4655159357606875</v>
      </c>
      <c r="AD479" s="7">
        <f t="shared" si="129"/>
        <v>0.31944278975111517</v>
      </c>
      <c r="AE479" s="6" t="s">
        <v>3</v>
      </c>
      <c r="AF479" s="6" t="s">
        <v>3</v>
      </c>
      <c r="AG479" s="6" t="s">
        <v>3</v>
      </c>
      <c r="AH479" s="6" t="s">
        <v>3</v>
      </c>
      <c r="AI479" s="6" t="s">
        <v>3</v>
      </c>
      <c r="AJ479" s="6" t="s">
        <v>3</v>
      </c>
      <c r="AK479" s="5">
        <f t="shared" si="130"/>
        <v>943.46142137317133</v>
      </c>
      <c r="AL479" s="7">
        <f t="shared" si="131"/>
        <v>-0.25918906815569631</v>
      </c>
      <c r="AM479" s="7">
        <f t="shared" si="132"/>
        <v>0.52576965735610637</v>
      </c>
    </row>
    <row r="480" spans="10:39" x14ac:dyDescent="0.25">
      <c r="J480" s="3">
        <v>474</v>
      </c>
      <c r="K480" s="7">
        <v>0.88138017463922158</v>
      </c>
      <c r="L480" s="7">
        <f t="shared" si="122"/>
        <v>0.18673834682910828</v>
      </c>
      <c r="M480" s="7">
        <f t="shared" ca="1" si="117"/>
        <v>4.2780579463947754E-2</v>
      </c>
      <c r="N480" s="7">
        <f t="shared" si="118"/>
        <v>0.88138017463922158</v>
      </c>
      <c r="O480" s="7">
        <v>0.10855926340423899</v>
      </c>
      <c r="P480" s="7">
        <f t="shared" si="119"/>
        <v>0.20630649362218278</v>
      </c>
      <c r="Q480" s="7">
        <f t="shared" si="123"/>
        <v>9.7747230217943792E-2</v>
      </c>
      <c r="R480" s="7">
        <f t="shared" si="120"/>
        <v>-0.25920183143247844</v>
      </c>
      <c r="S480" s="7">
        <f t="shared" si="124"/>
        <v>-2.9420887586937394E-2</v>
      </c>
      <c r="T480" s="7">
        <f t="shared" si="125"/>
        <v>1</v>
      </c>
      <c r="U480" s="7">
        <f t="shared" si="121"/>
        <v>0.52574246524694024</v>
      </c>
      <c r="V480" s="7">
        <f t="shared" si="126"/>
        <v>3.9632404175056618E-2</v>
      </c>
      <c r="W480" s="7">
        <f t="shared" si="127"/>
        <v>0</v>
      </c>
      <c r="X480" s="8" t="s">
        <v>3</v>
      </c>
      <c r="Y480" s="7">
        <v>0.88138017463922158</v>
      </c>
      <c r="Z480" s="7">
        <v>0.20630649362218278</v>
      </c>
      <c r="AC480" s="7">
        <f t="shared" si="128"/>
        <v>0.46550832505466122</v>
      </c>
      <c r="AD480" s="7">
        <f t="shared" si="129"/>
        <v>0.31943597162475745</v>
      </c>
      <c r="AE480" s="6" t="s">
        <v>3</v>
      </c>
      <c r="AF480" s="6" t="s">
        <v>3</v>
      </c>
      <c r="AG480" s="6" t="s">
        <v>3</v>
      </c>
      <c r="AH480" s="6" t="s">
        <v>3</v>
      </c>
      <c r="AI480" s="6" t="s">
        <v>3</v>
      </c>
      <c r="AJ480" s="6" t="s">
        <v>3</v>
      </c>
      <c r="AK480" s="5">
        <f t="shared" si="130"/>
        <v>943.4674702313921</v>
      </c>
      <c r="AL480" s="7">
        <f t="shared" si="131"/>
        <v>-0.25920183143247844</v>
      </c>
      <c r="AM480" s="7">
        <f t="shared" si="132"/>
        <v>0.52574246524694024</v>
      </c>
    </row>
    <row r="481" spans="10:39" x14ac:dyDescent="0.25">
      <c r="J481" s="3">
        <v>475</v>
      </c>
      <c r="K481" s="7">
        <v>0.88317556368991323</v>
      </c>
      <c r="L481" s="7">
        <f t="shared" si="122"/>
        <v>0.18262918056525312</v>
      </c>
      <c r="M481" s="7">
        <f t="shared" ca="1" si="117"/>
        <v>0.36632623875564591</v>
      </c>
      <c r="N481" s="7">
        <f t="shared" si="118"/>
        <v>0.88317556368991323</v>
      </c>
      <c r="O481" s="7">
        <v>0.18371440196379296</v>
      </c>
      <c r="P481" s="7">
        <f t="shared" si="119"/>
        <v>0.20327355180946238</v>
      </c>
      <c r="Q481" s="7">
        <f t="shared" si="123"/>
        <v>1.9559149845669421E-2</v>
      </c>
      <c r="R481" s="7">
        <f t="shared" si="120"/>
        <v>-0.26108615871120655</v>
      </c>
      <c r="S481" s="7">
        <f t="shared" si="124"/>
        <v>-3.5584044853999963E-2</v>
      </c>
      <c r="T481" s="7">
        <f t="shared" si="125"/>
        <v>1</v>
      </c>
      <c r="U481" s="7">
        <f t="shared" si="121"/>
        <v>0.52170001549263167</v>
      </c>
      <c r="V481" s="7">
        <f t="shared" si="126"/>
        <v>3.2108633285239677E-2</v>
      </c>
      <c r="W481" s="7">
        <f t="shared" si="127"/>
        <v>0</v>
      </c>
      <c r="X481" s="8" t="s">
        <v>3</v>
      </c>
      <c r="Y481" s="7">
        <v>0.88317556368991323</v>
      </c>
      <c r="Z481" s="7">
        <v>0.20327355180946238</v>
      </c>
      <c r="AC481" s="7">
        <f t="shared" si="128"/>
        <v>0.46435971052066893</v>
      </c>
      <c r="AD481" s="7">
        <f t="shared" si="129"/>
        <v>0.31842646368316929</v>
      </c>
      <c r="AE481" s="6" t="s">
        <v>3</v>
      </c>
      <c r="AF481" s="6" t="s">
        <v>3</v>
      </c>
      <c r="AG481" s="6" t="s">
        <v>3</v>
      </c>
      <c r="AH481" s="6" t="s">
        <v>3</v>
      </c>
      <c r="AI481" s="6" t="s">
        <v>3</v>
      </c>
      <c r="AJ481" s="6" t="s">
        <v>3</v>
      </c>
      <c r="AK481" s="5">
        <f t="shared" si="130"/>
        <v>944.3698804398407</v>
      </c>
      <c r="AL481" s="7">
        <f t="shared" si="131"/>
        <v>-0.26108615871120655</v>
      </c>
      <c r="AM481" s="7">
        <f t="shared" si="132"/>
        <v>0.52170001549263167</v>
      </c>
    </row>
    <row r="482" spans="10:39" x14ac:dyDescent="0.25">
      <c r="J482" s="3">
        <v>476</v>
      </c>
      <c r="K482" s="7">
        <v>0.8875152526955814</v>
      </c>
      <c r="L482" s="7">
        <f t="shared" si="122"/>
        <v>0.17271092009381833</v>
      </c>
      <c r="M482" s="7">
        <f t="shared" ca="1" si="117"/>
        <v>0.11237138882292316</v>
      </c>
      <c r="N482" s="7">
        <f t="shared" si="118"/>
        <v>0.8875152526955814</v>
      </c>
      <c r="O482" s="7">
        <v>-2.2515280725299819E-2</v>
      </c>
      <c r="P482" s="7">
        <f t="shared" si="119"/>
        <v>0.19599847052147901</v>
      </c>
      <c r="Q482" s="7">
        <f t="shared" si="123"/>
        <v>0.21851375124677883</v>
      </c>
      <c r="R482" s="7">
        <f t="shared" si="120"/>
        <v>-0.26548067603007564</v>
      </c>
      <c r="S482" s="7">
        <f t="shared" si="124"/>
        <v>-1.9437231624382066E-2</v>
      </c>
      <c r="T482" s="7">
        <f t="shared" si="125"/>
        <v>1</v>
      </c>
      <c r="U482" s="7">
        <f t="shared" si="121"/>
        <v>0.51204661710296673</v>
      </c>
      <c r="V482" s="7">
        <f t="shared" si="126"/>
        <v>5.0783380293685322E-2</v>
      </c>
      <c r="W482" s="7">
        <f t="shared" si="127"/>
        <v>0</v>
      </c>
      <c r="X482" s="8" t="s">
        <v>3</v>
      </c>
      <c r="Y482" s="7">
        <v>0.8875152526955814</v>
      </c>
      <c r="Z482" s="7">
        <v>0.19599847052147901</v>
      </c>
      <c r="AC482" s="7">
        <f t="shared" si="128"/>
        <v>0.46147914655155464</v>
      </c>
      <c r="AD482" s="7">
        <f t="shared" si="129"/>
        <v>0.31604814658148772</v>
      </c>
      <c r="AE482" s="6" t="s">
        <v>3</v>
      </c>
      <c r="AF482" s="6" t="s">
        <v>3</v>
      </c>
      <c r="AG482" s="6" t="s">
        <v>3</v>
      </c>
      <c r="AH482" s="6" t="s">
        <v>3</v>
      </c>
      <c r="AI482" s="6" t="s">
        <v>3</v>
      </c>
      <c r="AJ482" s="6" t="s">
        <v>3</v>
      </c>
      <c r="AK482" s="5">
        <f t="shared" si="130"/>
        <v>946.55112336248101</v>
      </c>
      <c r="AL482" s="7">
        <f t="shared" si="131"/>
        <v>-0.26548067603007564</v>
      </c>
      <c r="AM482" s="7">
        <f t="shared" si="132"/>
        <v>0.51204661710296673</v>
      </c>
    </row>
    <row r="483" spans="10:39" x14ac:dyDescent="0.25">
      <c r="J483" s="3">
        <v>477</v>
      </c>
      <c r="K483" s="7">
        <v>0.88954740907501195</v>
      </c>
      <c r="L483" s="7">
        <f t="shared" si="122"/>
        <v>0.16807747901446793</v>
      </c>
      <c r="M483" s="7">
        <f t="shared" ca="1" si="117"/>
        <v>-1.9068067462907734E-2</v>
      </c>
      <c r="N483" s="7">
        <f t="shared" si="118"/>
        <v>0.88954740907501195</v>
      </c>
      <c r="O483" s="7">
        <v>0.13555248375206602</v>
      </c>
      <c r="P483" s="7">
        <f t="shared" si="119"/>
        <v>0.19262012928106786</v>
      </c>
      <c r="Q483" s="7">
        <f t="shared" si="123"/>
        <v>5.7067645529001843E-2</v>
      </c>
      <c r="R483" s="7">
        <f t="shared" si="120"/>
        <v>-0.26746206989717169</v>
      </c>
      <c r="S483" s="7">
        <f t="shared" si="124"/>
        <v>-3.2241164291939017E-2</v>
      </c>
      <c r="T483" s="7">
        <f t="shared" si="125"/>
        <v>1</v>
      </c>
      <c r="U483" s="7">
        <f t="shared" si="121"/>
        <v>0.50758390941907505</v>
      </c>
      <c r="V483" s="7">
        <f t="shared" si="126"/>
        <v>3.5342985438365858E-2</v>
      </c>
      <c r="W483" s="7">
        <f t="shared" si="127"/>
        <v>0</v>
      </c>
      <c r="X483" s="8" t="s">
        <v>3</v>
      </c>
      <c r="Y483" s="7">
        <v>0.88954740907501195</v>
      </c>
      <c r="Z483" s="7">
        <v>0.19262012928106786</v>
      </c>
      <c r="AC483" s="7">
        <f t="shared" si="128"/>
        <v>0.46008219917823956</v>
      </c>
      <c r="AD483" s="7">
        <f t="shared" si="129"/>
        <v>0.31496378013800719</v>
      </c>
      <c r="AE483" s="6" t="s">
        <v>3</v>
      </c>
      <c r="AF483" s="6" t="s">
        <v>3</v>
      </c>
      <c r="AG483" s="6" t="s">
        <v>3</v>
      </c>
      <c r="AH483" s="6" t="s">
        <v>3</v>
      </c>
      <c r="AI483" s="6" t="s">
        <v>3</v>
      </c>
      <c r="AJ483" s="6" t="s">
        <v>3</v>
      </c>
      <c r="AK483" s="5">
        <f t="shared" si="130"/>
        <v>947.57253911705266</v>
      </c>
      <c r="AL483" s="7">
        <f t="shared" si="131"/>
        <v>-0.26746206989717169</v>
      </c>
      <c r="AM483" s="7">
        <f t="shared" si="132"/>
        <v>0.50758390941907505</v>
      </c>
    </row>
    <row r="484" spans="10:39" x14ac:dyDescent="0.25">
      <c r="J484" s="3">
        <v>478</v>
      </c>
      <c r="K484" s="7">
        <v>0.89349265784436693</v>
      </c>
      <c r="L484" s="7">
        <f t="shared" si="122"/>
        <v>0.15911188681570079</v>
      </c>
      <c r="M484" s="7">
        <f t="shared" ca="1" si="117"/>
        <v>2.2745677073331944E-2</v>
      </c>
      <c r="N484" s="7">
        <f t="shared" si="118"/>
        <v>0.89349265784436693</v>
      </c>
      <c r="O484" s="7">
        <v>0.1936810067854326</v>
      </c>
      <c r="P484" s="7">
        <f t="shared" si="119"/>
        <v>0.18611564714748052</v>
      </c>
      <c r="Q484" s="7">
        <f t="shared" si="123"/>
        <v>-7.5653596379520738E-3</v>
      </c>
      <c r="R484" s="7">
        <f t="shared" si="120"/>
        <v>-0.27117299572218556</v>
      </c>
      <c r="S484" s="7">
        <f t="shared" si="124"/>
        <v>-3.7188320200609457E-2</v>
      </c>
      <c r="T484" s="7">
        <f t="shared" si="125"/>
        <v>1</v>
      </c>
      <c r="U484" s="7">
        <f t="shared" si="121"/>
        <v>0.49902598860909464</v>
      </c>
      <c r="V484" s="7">
        <f t="shared" si="126"/>
        <v>2.9007773273247894E-2</v>
      </c>
      <c r="W484" s="7">
        <f t="shared" si="127"/>
        <v>0</v>
      </c>
      <c r="X484" s="8" t="s">
        <v>3</v>
      </c>
      <c r="Y484" s="7">
        <v>0.89349265784436693</v>
      </c>
      <c r="Z484" s="7">
        <v>0.18611564714748052</v>
      </c>
      <c r="AC484" s="7">
        <f t="shared" si="128"/>
        <v>0.45728864286966608</v>
      </c>
      <c r="AD484" s="7">
        <f t="shared" si="129"/>
        <v>0.31291034146161412</v>
      </c>
      <c r="AE484" s="6" t="s">
        <v>3</v>
      </c>
      <c r="AF484" s="6" t="s">
        <v>3</v>
      </c>
      <c r="AG484" s="6" t="s">
        <v>3</v>
      </c>
      <c r="AH484" s="6" t="s">
        <v>3</v>
      </c>
      <c r="AI484" s="6" t="s">
        <v>3</v>
      </c>
      <c r="AJ484" s="6" t="s">
        <v>3</v>
      </c>
      <c r="AK484" s="5">
        <f t="shared" si="130"/>
        <v>949.55552590365664</v>
      </c>
      <c r="AL484" s="7">
        <f t="shared" si="131"/>
        <v>-0.27117299572218556</v>
      </c>
      <c r="AM484" s="7">
        <f t="shared" si="132"/>
        <v>0.49902598860909464</v>
      </c>
    </row>
    <row r="485" spans="10:39" x14ac:dyDescent="0.25">
      <c r="J485" s="3">
        <v>479</v>
      </c>
      <c r="K485" s="7">
        <v>0.89463023852366397</v>
      </c>
      <c r="L485" s="7">
        <f t="shared" si="122"/>
        <v>0.15653573574285798</v>
      </c>
      <c r="M485" s="7">
        <f t="shared" ca="1" si="117"/>
        <v>0.34447100122671848</v>
      </c>
      <c r="N485" s="7">
        <f t="shared" si="118"/>
        <v>0.89463023852366397</v>
      </c>
      <c r="O485" s="7">
        <v>0.28894275694790084</v>
      </c>
      <c r="P485" s="7">
        <f t="shared" si="119"/>
        <v>0.18425385352969759</v>
      </c>
      <c r="Q485" s="7">
        <f t="shared" si="123"/>
        <v>-0.10468890341820325</v>
      </c>
      <c r="R485" s="7">
        <f t="shared" si="120"/>
        <v>-0.27221031687336517</v>
      </c>
      <c r="S485" s="7">
        <f t="shared" si="124"/>
        <v>-4.4892245905701282E-2</v>
      </c>
      <c r="T485" s="7">
        <f t="shared" si="125"/>
        <v>1</v>
      </c>
      <c r="U485" s="7">
        <f t="shared" si="121"/>
        <v>0.49658451235724099</v>
      </c>
      <c r="V485" s="7">
        <f t="shared" si="126"/>
        <v>1.9725966763887316E-2</v>
      </c>
      <c r="W485" s="7">
        <f t="shared" si="127"/>
        <v>0</v>
      </c>
      <c r="X485" s="8" t="s">
        <v>3</v>
      </c>
      <c r="Y485" s="7">
        <v>0.89463023852366397</v>
      </c>
      <c r="Z485" s="7">
        <v>0.18425385352969759</v>
      </c>
      <c r="AC485" s="7">
        <f t="shared" si="128"/>
        <v>0.45646417040306275</v>
      </c>
      <c r="AD485" s="7">
        <f t="shared" si="129"/>
        <v>0.31233065882754341</v>
      </c>
      <c r="AE485" s="6" t="s">
        <v>3</v>
      </c>
      <c r="AF485" s="6" t="s">
        <v>3</v>
      </c>
      <c r="AG485" s="6" t="s">
        <v>3</v>
      </c>
      <c r="AH485" s="6" t="s">
        <v>3</v>
      </c>
      <c r="AI485" s="6" t="s">
        <v>3</v>
      </c>
      <c r="AJ485" s="6" t="s">
        <v>3</v>
      </c>
      <c r="AK485" s="5">
        <f t="shared" si="130"/>
        <v>950.12730415836756</v>
      </c>
      <c r="AL485" s="7">
        <f t="shared" si="131"/>
        <v>-0.27221031687336517</v>
      </c>
      <c r="AM485" s="7">
        <f t="shared" si="132"/>
        <v>0.49658451235724099</v>
      </c>
    </row>
    <row r="486" spans="10:39" x14ac:dyDescent="0.25">
      <c r="J486" s="3">
        <v>480</v>
      </c>
      <c r="K486" s="7">
        <v>0.89847269348797187</v>
      </c>
      <c r="L486" s="7">
        <f t="shared" si="122"/>
        <v>0.14787116524930297</v>
      </c>
      <c r="M486" s="7">
        <f t="shared" ca="1" si="117"/>
        <v>0.28497717401132477</v>
      </c>
      <c r="N486" s="7">
        <f t="shared" si="118"/>
        <v>0.89847269348797187</v>
      </c>
      <c r="O486" s="7">
        <v>0.26059526657018095</v>
      </c>
      <c r="P486" s="7">
        <f t="shared" si="119"/>
        <v>0.17801225485355543</v>
      </c>
      <c r="Q486" s="7">
        <f t="shared" si="123"/>
        <v>-8.2583011716625521E-2</v>
      </c>
      <c r="R486" s="7">
        <f t="shared" si="120"/>
        <v>-0.27560843922694733</v>
      </c>
      <c r="S486" s="7">
        <f t="shared" si="124"/>
        <v>-4.2896296463770266E-2</v>
      </c>
      <c r="T486" s="7">
        <f t="shared" si="125"/>
        <v>1</v>
      </c>
      <c r="U486" s="7">
        <f t="shared" si="121"/>
        <v>0.48842479729975397</v>
      </c>
      <c r="V486" s="7">
        <f t="shared" si="126"/>
        <v>2.1643805419309436E-2</v>
      </c>
      <c r="W486" s="7">
        <f t="shared" si="127"/>
        <v>0</v>
      </c>
      <c r="X486" s="8" t="s">
        <v>3</v>
      </c>
      <c r="Y486" s="7">
        <v>0.89847269348797187</v>
      </c>
      <c r="Z486" s="7">
        <v>0.17801225485355543</v>
      </c>
      <c r="AC486" s="7">
        <f t="shared" si="128"/>
        <v>0.45362069408050276</v>
      </c>
      <c r="AD486" s="7">
        <f t="shared" si="129"/>
        <v>0.31041254244619854</v>
      </c>
      <c r="AE486" s="6" t="s">
        <v>3</v>
      </c>
      <c r="AF486" s="6" t="s">
        <v>3</v>
      </c>
      <c r="AG486" s="6" t="s">
        <v>3</v>
      </c>
      <c r="AH486" s="6" t="s">
        <v>3</v>
      </c>
      <c r="AI486" s="6" t="s">
        <v>3</v>
      </c>
      <c r="AJ486" s="6" t="s">
        <v>3</v>
      </c>
      <c r="AK486" s="5">
        <f t="shared" si="130"/>
        <v>952.05862404915092</v>
      </c>
      <c r="AL486" s="7">
        <f t="shared" si="131"/>
        <v>-0.27560843922694733</v>
      </c>
      <c r="AM486" s="7">
        <f t="shared" si="132"/>
        <v>0.48842479729975397</v>
      </c>
    </row>
    <row r="487" spans="10:39" x14ac:dyDescent="0.25">
      <c r="J487" s="3">
        <v>481</v>
      </c>
      <c r="K487" s="7">
        <v>0.90152957998348349</v>
      </c>
      <c r="L487" s="7">
        <f t="shared" si="122"/>
        <v>0.14102613793468211</v>
      </c>
      <c r="M487" s="7">
        <f t="shared" ca="1" si="117"/>
        <v>0.44455782004126421</v>
      </c>
      <c r="N487" s="7">
        <f t="shared" si="118"/>
        <v>0.90152957998348349</v>
      </c>
      <c r="O487" s="7">
        <v>0.3239896830144251</v>
      </c>
      <c r="P487" s="7">
        <f t="shared" si="119"/>
        <v>0.17310013996556872</v>
      </c>
      <c r="Q487" s="7">
        <f t="shared" si="123"/>
        <v>-0.15088954304885638</v>
      </c>
      <c r="R487" s="7">
        <f t="shared" si="120"/>
        <v>-0.27819789622856295</v>
      </c>
      <c r="S487" s="7">
        <f t="shared" si="124"/>
        <v>-4.8175006339439046E-2</v>
      </c>
      <c r="T487" s="7">
        <f t="shared" si="125"/>
        <v>1</v>
      </c>
      <c r="U487" s="7">
        <f t="shared" si="121"/>
        <v>0.48202953862705256</v>
      </c>
      <c r="V487" s="7">
        <f t="shared" si="126"/>
        <v>1.5013786283199609E-2</v>
      </c>
      <c r="W487" s="7">
        <f t="shared" si="127"/>
        <v>0</v>
      </c>
      <c r="X487" s="8" t="s">
        <v>3</v>
      </c>
      <c r="Y487" s="7">
        <v>0.90152957998348349</v>
      </c>
      <c r="Z487" s="7">
        <v>0.17310013996556872</v>
      </c>
      <c r="AC487" s="7">
        <f t="shared" si="128"/>
        <v>0.45129803619413167</v>
      </c>
      <c r="AD487" s="7">
        <f t="shared" si="129"/>
        <v>0.30892939866148383</v>
      </c>
      <c r="AE487" s="6" t="s">
        <v>3</v>
      </c>
      <c r="AF487" s="6" t="s">
        <v>3</v>
      </c>
      <c r="AG487" s="6" t="s">
        <v>3</v>
      </c>
      <c r="AH487" s="6" t="s">
        <v>3</v>
      </c>
      <c r="AI487" s="6" t="s">
        <v>3</v>
      </c>
      <c r="AJ487" s="6" t="s">
        <v>3</v>
      </c>
      <c r="AK487" s="5">
        <f t="shared" si="130"/>
        <v>953.59509636892767</v>
      </c>
      <c r="AL487" s="7">
        <f t="shared" si="131"/>
        <v>-0.27819789622856295</v>
      </c>
      <c r="AM487" s="7">
        <f t="shared" si="132"/>
        <v>0.48202953862705256</v>
      </c>
    </row>
    <row r="488" spans="10:39" x14ac:dyDescent="0.25">
      <c r="J488" s="3">
        <v>482</v>
      </c>
      <c r="K488" s="7">
        <v>0.90399671530922943</v>
      </c>
      <c r="L488" s="7">
        <f t="shared" si="122"/>
        <v>0.13553843234520241</v>
      </c>
      <c r="M488" s="7">
        <f t="shared" ca="1" si="117"/>
        <v>0.15203452149816932</v>
      </c>
      <c r="N488" s="7">
        <f t="shared" si="118"/>
        <v>0.90399671530922943</v>
      </c>
      <c r="O488" s="7">
        <v>0.58493424164555008</v>
      </c>
      <c r="P488" s="7">
        <f t="shared" si="119"/>
        <v>0.16917133427309938</v>
      </c>
      <c r="Q488" s="7">
        <f t="shared" si="123"/>
        <v>-0.4157629073724507</v>
      </c>
      <c r="R488" s="7">
        <f t="shared" si="120"/>
        <v>-0.28021608930570352</v>
      </c>
      <c r="S488" s="7">
        <f t="shared" si="124"/>
        <v>-6.9212026476100294E-2</v>
      </c>
      <c r="T488" s="7">
        <f t="shared" si="125"/>
        <v>1</v>
      </c>
      <c r="U488" s="7">
        <f t="shared" si="121"/>
        <v>0.47693053257441953</v>
      </c>
      <c r="V488" s="7">
        <f t="shared" si="126"/>
        <v>-9.7743356709373147E-2</v>
      </c>
      <c r="W488" s="7">
        <f t="shared" si="127"/>
        <v>1</v>
      </c>
      <c r="X488" s="8" t="s">
        <v>3</v>
      </c>
      <c r="Y488" s="7">
        <v>0.90399671530922943</v>
      </c>
      <c r="Z488" s="7">
        <v>0.16917133427309938</v>
      </c>
      <c r="AC488" s="7">
        <f t="shared" si="128"/>
        <v>0.4493874235788029</v>
      </c>
      <c r="AD488" s="7">
        <f t="shared" si="129"/>
        <v>0.30775919830132015</v>
      </c>
      <c r="AE488" s="6" t="s">
        <v>3</v>
      </c>
      <c r="AF488" s="6" t="s">
        <v>3</v>
      </c>
      <c r="AG488" s="6" t="s">
        <v>3</v>
      </c>
      <c r="AH488" s="6" t="s">
        <v>3</v>
      </c>
      <c r="AI488" s="6" t="s">
        <v>3</v>
      </c>
      <c r="AJ488" s="6" t="s">
        <v>3</v>
      </c>
      <c r="AK488" s="5">
        <f t="shared" si="130"/>
        <v>954.83514409157567</v>
      </c>
      <c r="AL488" s="7">
        <f t="shared" si="131"/>
        <v>-0.28021608930570352</v>
      </c>
      <c r="AM488" s="7">
        <f t="shared" si="132"/>
        <v>0.47693053257441953</v>
      </c>
    </row>
    <row r="489" spans="10:39" x14ac:dyDescent="0.25">
      <c r="J489" s="3">
        <v>483</v>
      </c>
      <c r="K489" s="7">
        <v>0.90669787895406473</v>
      </c>
      <c r="L489" s="7">
        <f t="shared" si="122"/>
        <v>0.12957301755659448</v>
      </c>
      <c r="M489" s="7">
        <f t="shared" ca="1" si="117"/>
        <v>0.33412414434201715</v>
      </c>
      <c r="N489" s="7">
        <f t="shared" si="118"/>
        <v>0.90669787895406473</v>
      </c>
      <c r="O489" s="7">
        <v>0.39294311943874549</v>
      </c>
      <c r="P489" s="7">
        <f t="shared" si="119"/>
        <v>0.1649073001407908</v>
      </c>
      <c r="Q489" s="7">
        <f t="shared" si="123"/>
        <v>-0.22803581929795469</v>
      </c>
      <c r="R489" s="7">
        <f t="shared" si="120"/>
        <v>-0.28235404329778468</v>
      </c>
      <c r="S489" s="7">
        <f t="shared" si="124"/>
        <v>-5.4023773018922416E-2</v>
      </c>
      <c r="T489" s="7">
        <f t="shared" si="125"/>
        <v>1</v>
      </c>
      <c r="U489" s="7">
        <f t="shared" si="121"/>
        <v>0.47141198191970357</v>
      </c>
      <c r="V489" s="7">
        <f t="shared" si="126"/>
        <v>7.454541935691018E-3</v>
      </c>
      <c r="W489" s="7">
        <f t="shared" si="127"/>
        <v>0</v>
      </c>
      <c r="X489" s="8" t="s">
        <v>3</v>
      </c>
      <c r="Y489" s="7">
        <v>0.90669787895406473</v>
      </c>
      <c r="Z489" s="7">
        <v>0.1649073001407908</v>
      </c>
      <c r="AC489" s="7">
        <f t="shared" si="128"/>
        <v>0.44726134343857549</v>
      </c>
      <c r="AD489" s="7">
        <f t="shared" si="129"/>
        <v>0.30650468177891277</v>
      </c>
      <c r="AE489" s="6" t="s">
        <v>3</v>
      </c>
      <c r="AF489" s="6" t="s">
        <v>3</v>
      </c>
      <c r="AG489" s="6" t="s">
        <v>3</v>
      </c>
      <c r="AH489" s="6" t="s">
        <v>3</v>
      </c>
      <c r="AI489" s="6" t="s">
        <v>3</v>
      </c>
      <c r="AJ489" s="6" t="s">
        <v>3</v>
      </c>
      <c r="AK489" s="5">
        <f t="shared" si="130"/>
        <v>956.19282066137009</v>
      </c>
      <c r="AL489" s="7">
        <f t="shared" si="131"/>
        <v>-0.28235404329778468</v>
      </c>
      <c r="AM489" s="7">
        <f t="shared" si="132"/>
        <v>0.47141198191970357</v>
      </c>
    </row>
    <row r="490" spans="10:39" x14ac:dyDescent="0.25">
      <c r="J490" s="3">
        <v>484</v>
      </c>
      <c r="K490" s="7">
        <v>0.9072644580258975</v>
      </c>
      <c r="L490" s="7">
        <f t="shared" si="122"/>
        <v>0.12832792229305029</v>
      </c>
      <c r="M490" s="7">
        <f t="shared" ca="1" si="117"/>
        <v>1.3787606731895413E-2</v>
      </c>
      <c r="N490" s="7">
        <f t="shared" si="118"/>
        <v>0.9072644580258975</v>
      </c>
      <c r="O490" s="7">
        <v>0.37825768456692899</v>
      </c>
      <c r="P490" s="7">
        <f t="shared" si="119"/>
        <v>0.16401795371561434</v>
      </c>
      <c r="Q490" s="7">
        <f t="shared" si="123"/>
        <v>-0.21423973085131465</v>
      </c>
      <c r="R490" s="7">
        <f t="shared" si="120"/>
        <v>-0.28279314382509479</v>
      </c>
      <c r="S490" s="7">
        <f t="shared" si="124"/>
        <v>-5.2884066271361906E-2</v>
      </c>
      <c r="T490" s="7">
        <f t="shared" si="125"/>
        <v>1</v>
      </c>
      <c r="U490" s="7">
        <f t="shared" si="121"/>
        <v>0.47026296423354141</v>
      </c>
      <c r="V490" s="7">
        <f t="shared" si="126"/>
        <v>8.7405015683281809E-3</v>
      </c>
      <c r="W490" s="7">
        <f t="shared" si="127"/>
        <v>0</v>
      </c>
      <c r="X490" s="8" t="s">
        <v>3</v>
      </c>
      <c r="Y490" s="7">
        <v>0.9072644580258975</v>
      </c>
      <c r="Z490" s="7">
        <v>0.16401795371561434</v>
      </c>
      <c r="AC490" s="7">
        <f t="shared" si="128"/>
        <v>0.44681109754070913</v>
      </c>
      <c r="AD490" s="7">
        <f t="shared" si="129"/>
        <v>0.30624501051792707</v>
      </c>
      <c r="AE490" s="6" t="s">
        <v>3</v>
      </c>
      <c r="AF490" s="6" t="s">
        <v>3</v>
      </c>
      <c r="AG490" s="6" t="s">
        <v>3</v>
      </c>
      <c r="AH490" s="6" t="s">
        <v>3</v>
      </c>
      <c r="AI490" s="6" t="s">
        <v>3</v>
      </c>
      <c r="AJ490" s="6" t="s">
        <v>3</v>
      </c>
      <c r="AK490" s="5">
        <f t="shared" si="130"/>
        <v>956.47759834680721</v>
      </c>
      <c r="AL490" s="7">
        <f t="shared" si="131"/>
        <v>-0.28279314382509479</v>
      </c>
      <c r="AM490" s="7">
        <f t="shared" si="132"/>
        <v>0.47026296423354141</v>
      </c>
    </row>
    <row r="491" spans="10:39" x14ac:dyDescent="0.25">
      <c r="J491" s="3">
        <v>485</v>
      </c>
      <c r="K491" s="7">
        <v>0.90805376086807343</v>
      </c>
      <c r="L491" s="7">
        <f t="shared" si="122"/>
        <v>0.12659714790672308</v>
      </c>
      <c r="M491" s="7">
        <f t="shared" ca="1" si="117"/>
        <v>1.536700593026083E-2</v>
      </c>
      <c r="N491" s="7">
        <f t="shared" si="118"/>
        <v>0.90805376086807343</v>
      </c>
      <c r="O491" s="7">
        <v>0.16282326714964301</v>
      </c>
      <c r="P491" s="7">
        <f t="shared" si="119"/>
        <v>0.16278195526709904</v>
      </c>
      <c r="Q491" s="7">
        <f t="shared" si="123"/>
        <v>-4.1311882543970668E-5</v>
      </c>
      <c r="R491" s="7">
        <f t="shared" si="120"/>
        <v>-0.28339952210188635</v>
      </c>
      <c r="S491" s="7">
        <f t="shared" si="124"/>
        <v>-3.5697823140122348E-2</v>
      </c>
      <c r="T491" s="7">
        <f t="shared" si="125"/>
        <v>1</v>
      </c>
      <c r="U491" s="7">
        <f t="shared" si="121"/>
        <v>0.46866719292822134</v>
      </c>
      <c r="V491" s="7">
        <f t="shared" si="126"/>
        <v>2.9055172948964942E-2</v>
      </c>
      <c r="W491" s="7">
        <f t="shared" si="127"/>
        <v>0</v>
      </c>
      <c r="X491" s="8" t="s">
        <v>3</v>
      </c>
      <c r="Y491" s="7">
        <v>0.90805376086807343</v>
      </c>
      <c r="Z491" s="7">
        <v>0.16278195526709904</v>
      </c>
      <c r="AC491" s="7">
        <f t="shared" si="128"/>
        <v>0.44618147736898539</v>
      </c>
      <c r="AD491" s="7">
        <f t="shared" si="129"/>
        <v>0.3058852376611223</v>
      </c>
      <c r="AE491" s="6" t="s">
        <v>3</v>
      </c>
      <c r="AF491" s="6" t="s">
        <v>3</v>
      </c>
      <c r="AG491" s="6" t="s">
        <v>3</v>
      </c>
      <c r="AH491" s="6" t="s">
        <v>3</v>
      </c>
      <c r="AI491" s="6" t="s">
        <v>3</v>
      </c>
      <c r="AJ491" s="6" t="s">
        <v>3</v>
      </c>
      <c r="AK491" s="5">
        <f t="shared" si="130"/>
        <v>956.87432291303026</v>
      </c>
      <c r="AL491" s="7">
        <f t="shared" si="131"/>
        <v>-0.28339952210188635</v>
      </c>
      <c r="AM491" s="7">
        <f t="shared" si="132"/>
        <v>0.46866719292822134</v>
      </c>
    </row>
    <row r="492" spans="10:39" x14ac:dyDescent="0.25">
      <c r="J492" s="3">
        <v>486</v>
      </c>
      <c r="K492" s="7">
        <v>0.90896408191004041</v>
      </c>
      <c r="L492" s="7">
        <f t="shared" si="122"/>
        <v>0.12460662401595374</v>
      </c>
      <c r="M492" s="7">
        <f t="shared" ca="1" si="117"/>
        <v>0.46377661805218517</v>
      </c>
      <c r="N492" s="7">
        <f t="shared" si="118"/>
        <v>0.90896408191004041</v>
      </c>
      <c r="O492" s="7">
        <v>-0.35423990088631963</v>
      </c>
      <c r="P492" s="7">
        <f t="shared" si="119"/>
        <v>0.16136074438084913</v>
      </c>
      <c r="Q492" s="7">
        <f t="shared" si="123"/>
        <v>0.51560064526716876</v>
      </c>
      <c r="R492" s="7">
        <f t="shared" si="120"/>
        <v>-0.2840912149189716</v>
      </c>
      <c r="S492" s="7">
        <f t="shared" si="124"/>
        <v>6.4536791089960188E-2</v>
      </c>
      <c r="T492" s="7">
        <f t="shared" si="125"/>
        <v>0</v>
      </c>
      <c r="U492" s="7">
        <f t="shared" si="121"/>
        <v>0.46683388110147916</v>
      </c>
      <c r="V492" s="7">
        <f t="shared" si="126"/>
        <v>7.8002009288840893E-2</v>
      </c>
      <c r="W492" s="7">
        <f t="shared" si="127"/>
        <v>0</v>
      </c>
      <c r="X492" s="8" t="s">
        <v>3</v>
      </c>
      <c r="Y492" s="7">
        <v>0.90896408191004041</v>
      </c>
      <c r="Z492" s="7">
        <v>0.16136074438084913</v>
      </c>
      <c r="AC492" s="7">
        <f t="shared" si="128"/>
        <v>0.44545195929982073</v>
      </c>
      <c r="AD492" s="7">
        <f t="shared" si="129"/>
        <v>0.30547313672063003</v>
      </c>
      <c r="AE492" s="6" t="s">
        <v>3</v>
      </c>
      <c r="AF492" s="6" t="s">
        <v>3</v>
      </c>
      <c r="AG492" s="6" t="s">
        <v>3</v>
      </c>
      <c r="AH492" s="6" t="s">
        <v>3</v>
      </c>
      <c r="AI492" s="6" t="s">
        <v>3</v>
      </c>
      <c r="AJ492" s="6" t="s">
        <v>3</v>
      </c>
      <c r="AK492" s="5">
        <f t="shared" si="130"/>
        <v>957.33187443977033</v>
      </c>
      <c r="AL492" s="7">
        <f t="shared" si="131"/>
        <v>-0.2840912149189716</v>
      </c>
      <c r="AM492" s="7">
        <f t="shared" si="132"/>
        <v>0.46683388110147916</v>
      </c>
    </row>
    <row r="493" spans="10:39" x14ac:dyDescent="0.25">
      <c r="J493" s="3">
        <v>487</v>
      </c>
      <c r="K493" s="7">
        <v>0.90977800713774815</v>
      </c>
      <c r="L493" s="7">
        <f t="shared" si="122"/>
        <v>0.12283214442945556</v>
      </c>
      <c r="M493" s="7">
        <f t="shared" ca="1" si="117"/>
        <v>-0.10398769592839902</v>
      </c>
      <c r="N493" s="7">
        <f t="shared" si="118"/>
        <v>0.90977800713774815</v>
      </c>
      <c r="O493" s="7">
        <v>0.33268903062815081</v>
      </c>
      <c r="P493" s="7">
        <f t="shared" si="119"/>
        <v>0.16009394954525691</v>
      </c>
      <c r="Q493" s="7">
        <f t="shared" si="123"/>
        <v>-0.1725950810828939</v>
      </c>
      <c r="R493" s="7">
        <f t="shared" si="120"/>
        <v>-0.28470277188519422</v>
      </c>
      <c r="S493" s="7">
        <f t="shared" si="124"/>
        <v>-4.9391344201067604E-2</v>
      </c>
      <c r="T493" s="7">
        <f t="shared" si="125"/>
        <v>1</v>
      </c>
      <c r="U493" s="7">
        <f t="shared" si="121"/>
        <v>0.46520117027497543</v>
      </c>
      <c r="V493" s="7">
        <f t="shared" si="126"/>
        <v>1.2588653266448339E-2</v>
      </c>
      <c r="W493" s="7">
        <f t="shared" si="127"/>
        <v>0</v>
      </c>
      <c r="X493" s="8" t="s">
        <v>3</v>
      </c>
      <c r="Y493" s="7">
        <v>0.90977800713774815</v>
      </c>
      <c r="Z493" s="7">
        <v>0.16009394954525691</v>
      </c>
      <c r="AC493" s="7">
        <f t="shared" si="128"/>
        <v>0.44479672143045113</v>
      </c>
      <c r="AD493" s="7">
        <f t="shared" si="129"/>
        <v>0.30510722072971852</v>
      </c>
      <c r="AE493" s="6" t="s">
        <v>3</v>
      </c>
      <c r="AF493" s="6" t="s">
        <v>3</v>
      </c>
      <c r="AG493" s="6" t="s">
        <v>3</v>
      </c>
      <c r="AH493" s="6" t="s">
        <v>3</v>
      </c>
      <c r="AI493" s="6" t="s">
        <v>3</v>
      </c>
      <c r="AJ493" s="6" t="s">
        <v>3</v>
      </c>
      <c r="AK493" s="5">
        <f t="shared" si="130"/>
        <v>957.74097487074062</v>
      </c>
      <c r="AL493" s="7">
        <f t="shared" si="131"/>
        <v>-0.28470277188519422</v>
      </c>
      <c r="AM493" s="7">
        <f t="shared" si="132"/>
        <v>0.46520117027497543</v>
      </c>
    </row>
    <row r="494" spans="10:39" x14ac:dyDescent="0.25">
      <c r="J494" s="3">
        <v>488</v>
      </c>
      <c r="K494" s="7">
        <v>0.91020463883465252</v>
      </c>
      <c r="L494" s="7">
        <f t="shared" si="122"/>
        <v>0.12190406256014599</v>
      </c>
      <c r="M494" s="7">
        <f t="shared" ca="1" si="117"/>
        <v>-6.6432695574193401E-3</v>
      </c>
      <c r="N494" s="7">
        <f t="shared" si="118"/>
        <v>0.91020463883465252</v>
      </c>
      <c r="O494" s="7">
        <v>9.0318263074216407E-2</v>
      </c>
      <c r="P494" s="7">
        <f t="shared" si="119"/>
        <v>0.15943142601810978</v>
      </c>
      <c r="Q494" s="7">
        <f t="shared" si="123"/>
        <v>6.9113162943893372E-2</v>
      </c>
      <c r="R494" s="7">
        <f t="shared" si="120"/>
        <v>-0.28502074786679543</v>
      </c>
      <c r="S494" s="7">
        <f t="shared" si="124"/>
        <v>-3.0027120875280949E-2</v>
      </c>
      <c r="T494" s="7">
        <f t="shared" si="125"/>
        <v>1</v>
      </c>
      <c r="U494" s="7">
        <f t="shared" si="121"/>
        <v>0.46434779906710544</v>
      </c>
      <c r="V494" s="7">
        <f t="shared" si="126"/>
        <v>3.5532805919324457E-2</v>
      </c>
      <c r="W494" s="7">
        <f t="shared" si="127"/>
        <v>0</v>
      </c>
      <c r="X494" s="8" t="s">
        <v>3</v>
      </c>
      <c r="Y494" s="7">
        <v>0.91020463883465252</v>
      </c>
      <c r="Z494" s="7">
        <v>0.15943142601810978</v>
      </c>
      <c r="AC494" s="7">
        <f t="shared" si="128"/>
        <v>0.44445217388490521</v>
      </c>
      <c r="AD494" s="7">
        <f t="shared" si="129"/>
        <v>0.30491637304899566</v>
      </c>
      <c r="AE494" s="6" t="s">
        <v>3</v>
      </c>
      <c r="AF494" s="6" t="s">
        <v>3</v>
      </c>
      <c r="AG494" s="6" t="s">
        <v>3</v>
      </c>
      <c r="AH494" s="6" t="s">
        <v>3</v>
      </c>
      <c r="AI494" s="6" t="s">
        <v>3</v>
      </c>
      <c r="AJ494" s="6" t="s">
        <v>3</v>
      </c>
      <c r="AK494" s="5">
        <f t="shared" si="130"/>
        <v>957.95541128962475</v>
      </c>
      <c r="AL494" s="7">
        <f t="shared" si="131"/>
        <v>-0.28502074786679543</v>
      </c>
      <c r="AM494" s="7">
        <f t="shared" si="132"/>
        <v>0.46434779906710544</v>
      </c>
    </row>
    <row r="495" spans="10:39" x14ac:dyDescent="0.25">
      <c r="J495" s="3">
        <v>489</v>
      </c>
      <c r="K495" s="7">
        <v>0.91193214326818084</v>
      </c>
      <c r="L495" s="7">
        <f t="shared" si="122"/>
        <v>0.11816097340045843</v>
      </c>
      <c r="M495" s="7">
        <f t="shared" ca="1" si="117"/>
        <v>-7.9631058833930651E-2</v>
      </c>
      <c r="N495" s="7">
        <f t="shared" si="118"/>
        <v>0.91193214326818084</v>
      </c>
      <c r="O495" s="7">
        <v>-0.17347900719288617</v>
      </c>
      <c r="P495" s="7">
        <f t="shared" si="119"/>
        <v>0.15675928736854328</v>
      </c>
      <c r="Q495" s="7">
        <f t="shared" si="123"/>
        <v>0.33023829456142945</v>
      </c>
      <c r="R495" s="7">
        <f t="shared" si="120"/>
        <v>-0.28629030863302862</v>
      </c>
      <c r="S495" s="7">
        <f t="shared" si="124"/>
        <v>-9.0249041152113962E-3</v>
      </c>
      <c r="T495" s="7">
        <f t="shared" si="125"/>
        <v>1</v>
      </c>
      <c r="U495" s="7">
        <f t="shared" si="121"/>
        <v>0.46090951338797348</v>
      </c>
      <c r="V495" s="7">
        <f t="shared" si="126"/>
        <v>6.0266909455181671E-2</v>
      </c>
      <c r="W495" s="7">
        <f t="shared" si="127"/>
        <v>0</v>
      </c>
      <c r="X495" s="8" t="s">
        <v>3</v>
      </c>
      <c r="Y495" s="7">
        <v>0.91193214326818084</v>
      </c>
      <c r="Z495" s="7">
        <v>0.15675928736854328</v>
      </c>
      <c r="AC495" s="7">
        <f t="shared" si="128"/>
        <v>0.4430495960015719</v>
      </c>
      <c r="AD495" s="7">
        <f t="shared" si="129"/>
        <v>0.3041502260194302</v>
      </c>
      <c r="AE495" s="6" t="s">
        <v>3</v>
      </c>
      <c r="AF495" s="6" t="s">
        <v>3</v>
      </c>
      <c r="AG495" s="6" t="s">
        <v>3</v>
      </c>
      <c r="AH495" s="6" t="s">
        <v>3</v>
      </c>
      <c r="AI495" s="6" t="s">
        <v>3</v>
      </c>
      <c r="AJ495" s="6" t="s">
        <v>3</v>
      </c>
      <c r="AK495" s="5">
        <f t="shared" si="130"/>
        <v>958.82370088699952</v>
      </c>
      <c r="AL495" s="7">
        <f t="shared" si="131"/>
        <v>-0.28629030863302862</v>
      </c>
      <c r="AM495" s="7">
        <f t="shared" si="132"/>
        <v>0.46090951338797348</v>
      </c>
    </row>
    <row r="496" spans="10:39" x14ac:dyDescent="0.25">
      <c r="J496" s="3">
        <v>490</v>
      </c>
      <c r="K496" s="7">
        <v>0.92364025585072307</v>
      </c>
      <c r="L496" s="7">
        <f t="shared" si="122"/>
        <v>9.3529249039349574E-2</v>
      </c>
      <c r="M496" s="7">
        <f t="shared" ca="1" si="117"/>
        <v>0.23527241485829292</v>
      </c>
      <c r="N496" s="7">
        <f t="shared" si="118"/>
        <v>0.92364025585072307</v>
      </c>
      <c r="O496" s="7">
        <v>0.20250522111256614</v>
      </c>
      <c r="P496" s="7">
        <f t="shared" si="119"/>
        <v>0.13910819911326122</v>
      </c>
      <c r="Q496" s="7">
        <f t="shared" si="123"/>
        <v>-6.3397021999304914E-2</v>
      </c>
      <c r="R496" s="7">
        <f t="shared" si="120"/>
        <v>-0.29416833480684712</v>
      </c>
      <c r="S496" s="7">
        <f t="shared" si="124"/>
        <v>-3.9733884473553062E-2</v>
      </c>
      <c r="T496" s="7">
        <f t="shared" si="125"/>
        <v>1</v>
      </c>
      <c r="U496" s="7">
        <f t="shared" si="121"/>
        <v>0.43833200275598427</v>
      </c>
      <c r="V496" s="7">
        <f t="shared" si="126"/>
        <v>2.2403544256124723E-2</v>
      </c>
      <c r="W496" s="7">
        <f t="shared" si="127"/>
        <v>0</v>
      </c>
      <c r="X496" s="8" t="s">
        <v>3</v>
      </c>
      <c r="Y496" s="7">
        <v>0.92364025585072307</v>
      </c>
      <c r="Z496" s="7">
        <v>0.13910819911326122</v>
      </c>
      <c r="AC496" s="7">
        <f t="shared" si="128"/>
        <v>0.43327653392010834</v>
      </c>
      <c r="AD496" s="7">
        <f t="shared" si="129"/>
        <v>0.29922380364272305</v>
      </c>
      <c r="AE496" s="6" t="s">
        <v>3</v>
      </c>
      <c r="AF496" s="6" t="s">
        <v>3</v>
      </c>
      <c r="AG496" s="6" t="s">
        <v>3</v>
      </c>
      <c r="AH496" s="6" t="s">
        <v>3</v>
      </c>
      <c r="AI496" s="6" t="s">
        <v>3</v>
      </c>
      <c r="AJ496" s="6" t="s">
        <v>3</v>
      </c>
      <c r="AK496" s="5">
        <f t="shared" si="130"/>
        <v>964.7085091474047</v>
      </c>
      <c r="AL496" s="7">
        <f t="shared" si="131"/>
        <v>-0.29416833480684712</v>
      </c>
      <c r="AM496" s="7">
        <f t="shared" si="132"/>
        <v>0.43833200275598427</v>
      </c>
    </row>
    <row r="497" spans="10:39" x14ac:dyDescent="0.25">
      <c r="J497" s="3">
        <v>491</v>
      </c>
      <c r="K497" s="7">
        <v>0.92967719639312296</v>
      </c>
      <c r="L497" s="7">
        <f t="shared" si="122"/>
        <v>8.1438165015153219E-2</v>
      </c>
      <c r="M497" s="7">
        <f t="shared" ca="1" si="117"/>
        <v>-1.3513258953458951E-2</v>
      </c>
      <c r="N497" s="7">
        <f t="shared" si="118"/>
        <v>0.92967719639312296</v>
      </c>
      <c r="O497" s="7">
        <v>0.22364660588571472</v>
      </c>
      <c r="P497" s="7">
        <f t="shared" si="119"/>
        <v>0.13033153158374411</v>
      </c>
      <c r="Q497" s="7">
        <f t="shared" si="123"/>
        <v>-9.3315074301970613E-2</v>
      </c>
      <c r="R497" s="7">
        <f t="shared" si="120"/>
        <v>-0.29776757831148348</v>
      </c>
      <c r="S497" s="7">
        <f t="shared" si="124"/>
        <v>-4.1713134735775856E-2</v>
      </c>
      <c r="T497" s="7">
        <f t="shared" si="125"/>
        <v>1</v>
      </c>
      <c r="U497" s="7">
        <f t="shared" si="121"/>
        <v>0.42718332358769251</v>
      </c>
      <c r="V497" s="7">
        <f t="shared" si="126"/>
        <v>1.9335988181687889E-2</v>
      </c>
      <c r="W497" s="7">
        <f t="shared" si="127"/>
        <v>0</v>
      </c>
      <c r="X497" s="8" t="s">
        <v>3</v>
      </c>
      <c r="Y497" s="7">
        <v>0.92967719639312296</v>
      </c>
      <c r="Z497" s="7">
        <v>0.13033153158374411</v>
      </c>
      <c r="AC497" s="7">
        <f t="shared" si="128"/>
        <v>0.42809910989522759</v>
      </c>
      <c r="AD497" s="7">
        <f t="shared" si="129"/>
        <v>0.2968517920039484</v>
      </c>
      <c r="AE497" s="6" t="s">
        <v>3</v>
      </c>
      <c r="AF497" s="6" t="s">
        <v>3</v>
      </c>
      <c r="AG497" s="6" t="s">
        <v>3</v>
      </c>
      <c r="AH497" s="6" t="s">
        <v>3</v>
      </c>
      <c r="AI497" s="6" t="s">
        <v>3</v>
      </c>
      <c r="AJ497" s="6" t="s">
        <v>3</v>
      </c>
      <c r="AK497" s="5">
        <f t="shared" si="130"/>
        <v>967.74283575820812</v>
      </c>
      <c r="AL497" s="7">
        <f t="shared" si="131"/>
        <v>-0.29776757831148348</v>
      </c>
      <c r="AM497" s="7">
        <f t="shared" si="132"/>
        <v>0.42718332358769251</v>
      </c>
    </row>
    <row r="498" spans="10:39" x14ac:dyDescent="0.25">
      <c r="J498" s="3">
        <v>492</v>
      </c>
      <c r="K498" s="7">
        <v>0.93179024597484306</v>
      </c>
      <c r="L498" s="7">
        <f t="shared" si="122"/>
        <v>7.7322420586408008E-2</v>
      </c>
      <c r="M498" s="7">
        <f t="shared" ca="1" si="117"/>
        <v>6.2276826444124002E-3</v>
      </c>
      <c r="N498" s="7">
        <f t="shared" si="118"/>
        <v>0.93179024597484306</v>
      </c>
      <c r="O498" s="7">
        <v>0.18404830424584701</v>
      </c>
      <c r="P498" s="7">
        <f t="shared" si="119"/>
        <v>0.12731336620878686</v>
      </c>
      <c r="Q498" s="7">
        <f t="shared" si="123"/>
        <v>-5.6734938037060145E-2</v>
      </c>
      <c r="R498" s="7">
        <f t="shared" si="120"/>
        <v>-0.29895812385545018</v>
      </c>
      <c r="S498" s="7">
        <f t="shared" si="124"/>
        <v>-3.8640514248103774E-2</v>
      </c>
      <c r="T498" s="7">
        <f t="shared" si="125"/>
        <v>1</v>
      </c>
      <c r="U498" s="7">
        <f t="shared" si="121"/>
        <v>0.42335986718932572</v>
      </c>
      <c r="V498" s="7">
        <f t="shared" si="126"/>
        <v>2.2734598479630479E-2</v>
      </c>
      <c r="W498" s="7">
        <f t="shared" si="127"/>
        <v>0</v>
      </c>
      <c r="X498" s="8" t="s">
        <v>3</v>
      </c>
      <c r="Y498" s="7">
        <v>0.93179024597484306</v>
      </c>
      <c r="Z498" s="7">
        <v>0.12731336620878686</v>
      </c>
      <c r="AC498" s="7">
        <f t="shared" si="128"/>
        <v>0.42627149006423704</v>
      </c>
      <c r="AD498" s="7">
        <f t="shared" si="129"/>
        <v>0.29604650098053886</v>
      </c>
      <c r="AE498" s="6" t="s">
        <v>3</v>
      </c>
      <c r="AF498" s="6" t="s">
        <v>3</v>
      </c>
      <c r="AG498" s="6" t="s">
        <v>3</v>
      </c>
      <c r="AH498" s="6" t="s">
        <v>3</v>
      </c>
      <c r="AI498" s="6" t="s">
        <v>3</v>
      </c>
      <c r="AJ498" s="6" t="s">
        <v>3</v>
      </c>
      <c r="AK498" s="5">
        <f t="shared" si="130"/>
        <v>968.80491058414486</v>
      </c>
      <c r="AL498" s="7">
        <f t="shared" si="131"/>
        <v>-0.29895812385545018</v>
      </c>
      <c r="AM498" s="7">
        <f t="shared" si="132"/>
        <v>0.42335986718932572</v>
      </c>
    </row>
    <row r="499" spans="10:39" x14ac:dyDescent="0.25">
      <c r="J499" s="3">
        <v>493</v>
      </c>
      <c r="K499" s="7">
        <v>0.93435889334923594</v>
      </c>
      <c r="L499" s="7">
        <f t="shared" si="122"/>
        <v>7.2407764535007649E-2</v>
      </c>
      <c r="M499" s="7">
        <f t="shared" ca="1" si="117"/>
        <v>9.9634710464879692E-2</v>
      </c>
      <c r="N499" s="7">
        <f t="shared" si="118"/>
        <v>0.93435889334923594</v>
      </c>
      <c r="O499" s="7">
        <v>0.29641324474048936</v>
      </c>
      <c r="P499" s="7">
        <f t="shared" si="119"/>
        <v>0.12368256937352395</v>
      </c>
      <c r="Q499" s="7">
        <f t="shared" si="123"/>
        <v>-0.1727306753669654</v>
      </c>
      <c r="R499" s="7">
        <f t="shared" si="120"/>
        <v>-0.30035889570209751</v>
      </c>
      <c r="S499" s="7">
        <f t="shared" si="124"/>
        <v>-4.7741771235406953E-2</v>
      </c>
      <c r="T499" s="7">
        <f t="shared" si="125"/>
        <v>1</v>
      </c>
      <c r="U499" s="7">
        <f t="shared" si="121"/>
        <v>0.41876682932453635</v>
      </c>
      <c r="V499" s="7">
        <f t="shared" si="126"/>
        <v>1.1623590535484464E-2</v>
      </c>
      <c r="W499" s="7">
        <f t="shared" si="127"/>
        <v>0</v>
      </c>
      <c r="X499" s="8" t="s">
        <v>3</v>
      </c>
      <c r="Y499" s="7">
        <v>0.93435889334923594</v>
      </c>
      <c r="Z499" s="7">
        <v>0.12368256937352395</v>
      </c>
      <c r="AC499" s="7">
        <f t="shared" si="128"/>
        <v>0.42404146507562146</v>
      </c>
      <c r="AD499" s="7">
        <f t="shared" si="129"/>
        <v>0.2950842599510124</v>
      </c>
      <c r="AE499" s="6" t="s">
        <v>3</v>
      </c>
      <c r="AF499" s="6" t="s">
        <v>3</v>
      </c>
      <c r="AG499" s="6" t="s">
        <v>3</v>
      </c>
      <c r="AH499" s="6" t="s">
        <v>3</v>
      </c>
      <c r="AI499" s="6" t="s">
        <v>3</v>
      </c>
      <c r="AJ499" s="6" t="s">
        <v>3</v>
      </c>
      <c r="AK499" s="5">
        <f t="shared" si="130"/>
        <v>970.09598095781337</v>
      </c>
      <c r="AL499" s="7">
        <f t="shared" si="131"/>
        <v>-0.30035889570209751</v>
      </c>
      <c r="AM499" s="7">
        <f t="shared" si="132"/>
        <v>0.41876682932453635</v>
      </c>
    </row>
    <row r="500" spans="10:39" x14ac:dyDescent="0.25">
      <c r="J500" s="3">
        <v>494</v>
      </c>
      <c r="K500" s="7">
        <v>0.94287322031354903</v>
      </c>
      <c r="L500" s="7">
        <f t="shared" si="122"/>
        <v>5.6883752304660182E-2</v>
      </c>
      <c r="M500" s="7">
        <f t="shared" ca="1" si="117"/>
        <v>-0.10476635449881866</v>
      </c>
      <c r="N500" s="7">
        <f t="shared" si="118"/>
        <v>0.94287322031354903</v>
      </c>
      <c r="O500" s="7">
        <v>-5.2655330248967402E-2</v>
      </c>
      <c r="P500" s="7">
        <f t="shared" si="119"/>
        <v>0.11195084083625151</v>
      </c>
      <c r="Q500" s="7">
        <f t="shared" si="123"/>
        <v>0.16460617108521891</v>
      </c>
      <c r="R500" s="7">
        <f t="shared" si="120"/>
        <v>-0.30465528934023212</v>
      </c>
      <c r="S500" s="7">
        <f t="shared" si="124"/>
        <v>-2.0159996727301177E-2</v>
      </c>
      <c r="T500" s="7">
        <f t="shared" si="125"/>
        <v>1</v>
      </c>
      <c r="U500" s="7">
        <f t="shared" si="121"/>
        <v>0.40396947135724925</v>
      </c>
      <c r="V500" s="7">
        <f t="shared" si="126"/>
        <v>4.337935615259058E-2</v>
      </c>
      <c r="W500" s="7">
        <f t="shared" si="127"/>
        <v>0</v>
      </c>
      <c r="X500" s="8" t="s">
        <v>3</v>
      </c>
      <c r="Y500" s="7">
        <v>0.94287322031354903</v>
      </c>
      <c r="Z500" s="7">
        <v>0.11195084083625151</v>
      </c>
      <c r="AC500" s="7">
        <f t="shared" si="128"/>
        <v>0.41660613017648362</v>
      </c>
      <c r="AD500" s="7">
        <f t="shared" si="129"/>
        <v>0.29201863052099775</v>
      </c>
      <c r="AE500" s="6" t="s">
        <v>3</v>
      </c>
      <c r="AF500" s="6" t="s">
        <v>3</v>
      </c>
      <c r="AG500" s="6" t="s">
        <v>3</v>
      </c>
      <c r="AH500" s="6" t="s">
        <v>3</v>
      </c>
      <c r="AI500" s="6" t="s">
        <v>3</v>
      </c>
      <c r="AJ500" s="6" t="s">
        <v>3</v>
      </c>
      <c r="AK500" s="5">
        <f t="shared" si="130"/>
        <v>974.37550776438775</v>
      </c>
      <c r="AL500" s="7">
        <f t="shared" si="131"/>
        <v>-0.30465528934023212</v>
      </c>
      <c r="AM500" s="7">
        <f t="shared" si="132"/>
        <v>0.40396947135724925</v>
      </c>
    </row>
    <row r="501" spans="10:39" x14ac:dyDescent="0.25">
      <c r="J501" s="3">
        <v>495</v>
      </c>
      <c r="K501" s="7">
        <v>0.94929933181312598</v>
      </c>
      <c r="L501" s="7">
        <f t="shared" si="122"/>
        <v>4.604822900562934E-2</v>
      </c>
      <c r="M501" s="7">
        <f t="shared" ca="1" si="117"/>
        <v>0.37959092394322475</v>
      </c>
      <c r="N501" s="7">
        <f t="shared" si="118"/>
        <v>0.94929933181312598</v>
      </c>
      <c r="O501" s="7">
        <v>9.7005605217875809E-2</v>
      </c>
      <c r="P501" s="7">
        <f t="shared" si="119"/>
        <v>0.10340958852031212</v>
      </c>
      <c r="Q501" s="7">
        <f t="shared" si="123"/>
        <v>6.4039833024363141E-3</v>
      </c>
      <c r="R501" s="7">
        <f t="shared" si="120"/>
        <v>-0.30756858633702322</v>
      </c>
      <c r="S501" s="7">
        <f t="shared" si="124"/>
        <v>-3.2365935324391922E-2</v>
      </c>
      <c r="T501" s="7">
        <f t="shared" si="125"/>
        <v>1</v>
      </c>
      <c r="U501" s="7">
        <f t="shared" si="121"/>
        <v>0.39323154893478929</v>
      </c>
      <c r="V501" s="7">
        <f t="shared" si="126"/>
        <v>2.8141464653106778E-2</v>
      </c>
      <c r="W501" s="7">
        <f t="shared" si="127"/>
        <v>0</v>
      </c>
      <c r="X501" s="8" t="s">
        <v>3</v>
      </c>
      <c r="Y501" s="7">
        <v>0.94929933181312598</v>
      </c>
      <c r="Z501" s="7">
        <v>0.10340958852031212</v>
      </c>
      <c r="AC501" s="7">
        <f t="shared" si="128"/>
        <v>0.41097817485733534</v>
      </c>
      <c r="AD501" s="7">
        <f t="shared" si="129"/>
        <v>0.28982196041447716</v>
      </c>
      <c r="AE501" s="6" t="s">
        <v>3</v>
      </c>
      <c r="AF501" s="6" t="s">
        <v>3</v>
      </c>
      <c r="AG501" s="6" t="s">
        <v>3</v>
      </c>
      <c r="AH501" s="6" t="s">
        <v>3</v>
      </c>
      <c r="AI501" s="6" t="s">
        <v>3</v>
      </c>
      <c r="AJ501" s="6" t="s">
        <v>3</v>
      </c>
      <c r="AK501" s="5">
        <f t="shared" si="130"/>
        <v>977.60544203162237</v>
      </c>
      <c r="AL501" s="7">
        <f t="shared" si="131"/>
        <v>-0.30756858633702322</v>
      </c>
      <c r="AM501" s="7">
        <f t="shared" si="132"/>
        <v>0.39323154893478929</v>
      </c>
    </row>
    <row r="502" spans="10:39" x14ac:dyDescent="0.25">
      <c r="J502" s="3">
        <v>496</v>
      </c>
      <c r="K502" s="7">
        <v>0.96591990619860479</v>
      </c>
      <c r="L502" s="7">
        <f t="shared" si="122"/>
        <v>2.230977767828363E-2</v>
      </c>
      <c r="M502" s="7">
        <f t="shared" ca="1" si="117"/>
        <v>-0.25295653213132774</v>
      </c>
      <c r="N502" s="7">
        <f t="shared" si="118"/>
        <v>0.96591990619860479</v>
      </c>
      <c r="O502" s="7">
        <v>0.12919380373582925</v>
      </c>
      <c r="P502" s="7">
        <f t="shared" si="119"/>
        <v>8.2587656991122582E-2</v>
      </c>
      <c r="Q502" s="7">
        <f t="shared" si="123"/>
        <v>-4.6606146744706672E-2</v>
      </c>
      <c r="R502" s="7">
        <f t="shared" si="120"/>
        <v>-0.31394828143795284</v>
      </c>
      <c r="S502" s="7">
        <f t="shared" si="124"/>
        <v>-3.5451366813902568E-2</v>
      </c>
      <c r="T502" s="7">
        <f t="shared" si="125"/>
        <v>1</v>
      </c>
      <c r="U502" s="7">
        <f t="shared" si="121"/>
        <v>0.36713583775667225</v>
      </c>
      <c r="V502" s="7">
        <f t="shared" si="126"/>
        <v>2.2604493231980084E-2</v>
      </c>
      <c r="W502" s="7">
        <f t="shared" si="127"/>
        <v>0</v>
      </c>
      <c r="X502" s="8" t="s">
        <v>3</v>
      </c>
      <c r="Y502" s="7">
        <v>0.96591990619860479</v>
      </c>
      <c r="Z502" s="7">
        <v>8.2587656991122582E-2</v>
      </c>
      <c r="AC502" s="7">
        <f t="shared" si="128"/>
        <v>0.39653593842907542</v>
      </c>
      <c r="AD502" s="7">
        <f t="shared" si="129"/>
        <v>0.28454818076554966</v>
      </c>
      <c r="AE502" s="6" t="s">
        <v>3</v>
      </c>
      <c r="AF502" s="6" t="s">
        <v>3</v>
      </c>
      <c r="AG502" s="6" t="s">
        <v>3</v>
      </c>
      <c r="AH502" s="6" t="s">
        <v>3</v>
      </c>
      <c r="AI502" s="6" t="s">
        <v>3</v>
      </c>
      <c r="AJ502" s="6" t="s">
        <v>3</v>
      </c>
      <c r="AK502" s="5">
        <f t="shared" si="130"/>
        <v>985.95938403096602</v>
      </c>
      <c r="AL502" s="7">
        <f t="shared" si="131"/>
        <v>-0.31394828143795284</v>
      </c>
      <c r="AM502" s="7">
        <f t="shared" si="132"/>
        <v>0.36713583775667225</v>
      </c>
    </row>
    <row r="503" spans="10:39" x14ac:dyDescent="0.25">
      <c r="J503" s="3">
        <v>497</v>
      </c>
      <c r="K503" s="7">
        <v>0.97510374736191108</v>
      </c>
      <c r="L503" s="7">
        <f t="shared" si="122"/>
        <v>1.2366880801888511E-2</v>
      </c>
      <c r="M503" s="7">
        <f t="shared" ca="1" si="117"/>
        <v>5.2189775700401717E-2</v>
      </c>
      <c r="N503" s="7">
        <f t="shared" si="118"/>
        <v>0.97510374736191108</v>
      </c>
      <c r="O503" s="7">
        <v>0.12214298957561315</v>
      </c>
      <c r="P503" s="7">
        <f t="shared" si="119"/>
        <v>7.1871183013773265E-2</v>
      </c>
      <c r="Q503" s="7">
        <f t="shared" si="123"/>
        <v>-5.0271806561839882E-2</v>
      </c>
      <c r="R503" s="7">
        <f t="shared" si="120"/>
        <v>-0.31685098897112507</v>
      </c>
      <c r="S503" s="7">
        <f t="shared" si="124"/>
        <v>-3.5119518283739055E-2</v>
      </c>
      <c r="T503" s="7">
        <f t="shared" si="125"/>
        <v>1</v>
      </c>
      <c r="U503" s="7">
        <f t="shared" si="121"/>
        <v>0.35372406228756903</v>
      </c>
      <c r="V503" s="7">
        <f t="shared" si="126"/>
        <v>2.2000201907635811E-2</v>
      </c>
      <c r="W503" s="7">
        <f t="shared" si="127"/>
        <v>0</v>
      </c>
      <c r="X503" s="8" t="s">
        <v>3</v>
      </c>
      <c r="Y503" s="7">
        <v>0.97510374736191108</v>
      </c>
      <c r="Z503" s="7">
        <v>7.1871183013773265E-2</v>
      </c>
      <c r="AC503" s="7">
        <f t="shared" si="128"/>
        <v>0.38872217198489833</v>
      </c>
      <c r="AD503" s="7">
        <f t="shared" si="129"/>
        <v>0.28185287927379576</v>
      </c>
      <c r="AE503" s="6" t="s">
        <v>3</v>
      </c>
      <c r="AF503" s="6" t="s">
        <v>3</v>
      </c>
      <c r="AG503" s="6" t="s">
        <v>3</v>
      </c>
      <c r="AH503" s="6" t="s">
        <v>3</v>
      </c>
      <c r="AI503" s="6" t="s">
        <v>3</v>
      </c>
      <c r="AJ503" s="6" t="s">
        <v>3</v>
      </c>
      <c r="AK503" s="5">
        <f t="shared" si="130"/>
        <v>990.5754264510449</v>
      </c>
      <c r="AL503" s="7">
        <f t="shared" si="131"/>
        <v>-0.31685098897112507</v>
      </c>
      <c r="AM503" s="7">
        <f t="shared" si="132"/>
        <v>0.35372406228756903</v>
      </c>
    </row>
    <row r="504" spans="10:39" x14ac:dyDescent="0.25">
      <c r="J504" s="3">
        <v>498</v>
      </c>
      <c r="K504" s="7">
        <v>0.9830265698316103</v>
      </c>
      <c r="L504" s="7">
        <f t="shared" si="122"/>
        <v>5.9378000901533414E-3</v>
      </c>
      <c r="M504" s="7">
        <f t="shared" ca="1" si="117"/>
        <v>7.4055320369210129E-2</v>
      </c>
      <c r="N504" s="7">
        <f t="shared" si="118"/>
        <v>0.9830265698316103</v>
      </c>
      <c r="O504" s="7">
        <v>-2.086347037582123E-2</v>
      </c>
      <c r="P504" s="7">
        <f t="shared" si="119"/>
        <v>6.3074783841162496E-2</v>
      </c>
      <c r="Q504" s="7">
        <f t="shared" si="123"/>
        <v>8.3938254216983726E-2</v>
      </c>
      <c r="R504" s="7">
        <f t="shared" si="120"/>
        <v>-0.31904944154598347</v>
      </c>
      <c r="S504" s="7">
        <f t="shared" si="124"/>
        <v>-2.3854877693612976E-2</v>
      </c>
      <c r="T504" s="7">
        <f t="shared" si="125"/>
        <v>1</v>
      </c>
      <c r="U504" s="7">
        <f t="shared" si="121"/>
        <v>0.34270992920998156</v>
      </c>
      <c r="V504" s="7">
        <f t="shared" si="126"/>
        <v>3.4539472960651268E-2</v>
      </c>
      <c r="W504" s="7">
        <f t="shared" si="127"/>
        <v>0</v>
      </c>
      <c r="X504" s="8" t="s">
        <v>3</v>
      </c>
      <c r="Y504" s="7">
        <v>0.9830265698316103</v>
      </c>
      <c r="Z504" s="7">
        <v>6.3074783841162496E-2</v>
      </c>
      <c r="AC504" s="7">
        <f t="shared" si="128"/>
        <v>0.38212422538714597</v>
      </c>
      <c r="AD504" s="7">
        <f t="shared" si="129"/>
        <v>0.27963514536881906</v>
      </c>
      <c r="AE504" s="6" t="s">
        <v>3</v>
      </c>
      <c r="AF504" s="6" t="s">
        <v>3</v>
      </c>
      <c r="AG504" s="6" t="s">
        <v>3</v>
      </c>
      <c r="AH504" s="6" t="s">
        <v>3</v>
      </c>
      <c r="AI504" s="6" t="s">
        <v>3</v>
      </c>
      <c r="AJ504" s="6" t="s">
        <v>3</v>
      </c>
      <c r="AK504" s="5">
        <f t="shared" si="130"/>
        <v>994.5576473928669</v>
      </c>
      <c r="AL504" s="7">
        <f t="shared" si="131"/>
        <v>-0.31904944154598347</v>
      </c>
      <c r="AM504" s="7">
        <f t="shared" si="132"/>
        <v>0.34270992920998156</v>
      </c>
    </row>
    <row r="505" spans="10:39" x14ac:dyDescent="0.25">
      <c r="J505" s="3">
        <v>499</v>
      </c>
      <c r="K505" s="7">
        <v>0.98914940312263888</v>
      </c>
      <c r="L505" s="7">
        <f t="shared" si="122"/>
        <v>2.4877043742445532E-3</v>
      </c>
      <c r="M505" s="7">
        <f t="shared" ca="1" si="117"/>
        <v>-0.18017800309740595</v>
      </c>
      <c r="N505" s="7">
        <f t="shared" si="118"/>
        <v>0.98914940312263888</v>
      </c>
      <c r="O505" s="7">
        <v>-7.6335502234601449E-2</v>
      </c>
      <c r="P505" s="7">
        <f t="shared" si="119"/>
        <v>5.655858763385746E-2</v>
      </c>
      <c r="Q505" s="7">
        <f t="shared" si="123"/>
        <v>0.13289408986845891</v>
      </c>
      <c r="R505" s="7">
        <f t="shared" si="120"/>
        <v>-0.32057428087551365</v>
      </c>
      <c r="S505" s="7">
        <f t="shared" si="124"/>
        <v>-1.9539102291272977E-2</v>
      </c>
      <c r="T505" s="7">
        <f t="shared" si="125"/>
        <v>1</v>
      </c>
      <c r="U505" s="7">
        <f t="shared" si="121"/>
        <v>0.33454134961098925</v>
      </c>
      <c r="V505" s="7">
        <f t="shared" si="126"/>
        <v>3.9033300925331117E-2</v>
      </c>
      <c r="W505" s="7">
        <f t="shared" si="127"/>
        <v>0</v>
      </c>
      <c r="X505" s="8" t="s">
        <v>3</v>
      </c>
      <c r="Y505" s="7">
        <v>0.98914940312263888</v>
      </c>
      <c r="Z505" s="7">
        <v>5.655858763385746E-2</v>
      </c>
      <c r="AC505" s="7">
        <f t="shared" si="128"/>
        <v>0.37713286850937111</v>
      </c>
      <c r="AD505" s="7">
        <f t="shared" si="129"/>
        <v>0.27798276197713179</v>
      </c>
      <c r="AE505" s="6" t="s">
        <v>3</v>
      </c>
      <c r="AF505" s="6" t="s">
        <v>3</v>
      </c>
      <c r="AG505" s="6" t="s">
        <v>3</v>
      </c>
      <c r="AH505" s="6" t="s">
        <v>3</v>
      </c>
      <c r="AI505" s="6" t="s">
        <v>3</v>
      </c>
      <c r="AJ505" s="6" t="s">
        <v>3</v>
      </c>
      <c r="AK505" s="5">
        <f t="shared" si="130"/>
        <v>997.63514597977439</v>
      </c>
      <c r="AL505" s="7">
        <f t="shared" si="131"/>
        <v>-0.32057428087551365</v>
      </c>
      <c r="AM505" s="7">
        <f t="shared" si="132"/>
        <v>0.33454134961098925</v>
      </c>
    </row>
    <row r="506" spans="10:39" x14ac:dyDescent="0.25">
      <c r="J506" s="3">
        <v>500</v>
      </c>
      <c r="K506" s="7">
        <v>0.99358354390211145</v>
      </c>
      <c r="L506" s="7">
        <f t="shared" si="122"/>
        <v>8.8564628011388881E-4</v>
      </c>
      <c r="M506" s="7">
        <f t="shared" ca="1" si="117"/>
        <v>1.6253887586791416E-2</v>
      </c>
      <c r="N506" s="7">
        <f t="shared" si="118"/>
        <v>0.99358354390211145</v>
      </c>
      <c r="O506" s="7">
        <v>-0.21664665559482296</v>
      </c>
      <c r="P506" s="7">
        <f t="shared" si="119"/>
        <v>5.199120138143698E-2</v>
      </c>
      <c r="Q506" s="7">
        <f t="shared" si="123"/>
        <v>0.26863785697625997</v>
      </c>
      <c r="R506" s="7">
        <f t="shared" si="120"/>
        <v>-0.32159172084751653</v>
      </c>
      <c r="S506" s="7">
        <f t="shared" si="124"/>
        <v>-8.3956052202154852E-3</v>
      </c>
      <c r="T506" s="7">
        <f t="shared" si="125"/>
        <v>1</v>
      </c>
      <c r="U506" s="7">
        <f t="shared" si="121"/>
        <v>0.32880817984993405</v>
      </c>
      <c r="V506" s="7">
        <f t="shared" si="126"/>
        <v>5.181820936725192E-2</v>
      </c>
      <c r="W506" s="7">
        <f t="shared" si="127"/>
        <v>0</v>
      </c>
      <c r="X506" s="8" t="s">
        <v>3</v>
      </c>
      <c r="Y506" s="7">
        <v>0.99358354390211145</v>
      </c>
      <c r="Z506" s="7">
        <v>5.199120138143698E-2</v>
      </c>
      <c r="AC506" s="7">
        <f t="shared" si="128"/>
        <v>0.37358292222895351</v>
      </c>
      <c r="AD506" s="7">
        <f t="shared" si="129"/>
        <v>0.27681697846849707</v>
      </c>
      <c r="AE506" s="6" t="s">
        <v>3</v>
      </c>
      <c r="AF506" s="6" t="s">
        <v>3</v>
      </c>
      <c r="AG506" s="6" t="s">
        <v>3</v>
      </c>
      <c r="AH506" s="6" t="s">
        <v>3</v>
      </c>
      <c r="AI506" s="6" t="s">
        <v>3</v>
      </c>
      <c r="AJ506" s="6" t="s">
        <v>3</v>
      </c>
      <c r="AK506" s="5">
        <f t="shared" si="130"/>
        <v>999.86386287183336</v>
      </c>
      <c r="AL506" s="7">
        <f t="shared" si="131"/>
        <v>-0.32159172084751653</v>
      </c>
      <c r="AM506" s="7">
        <f t="shared" si="132"/>
        <v>0.32880817984993405</v>
      </c>
    </row>
    <row r="507" spans="10:39" x14ac:dyDescent="0.25">
      <c r="J507" s="3">
        <v>501</v>
      </c>
      <c r="K507" s="7">
        <v>0.99385439534751252</v>
      </c>
      <c r="L507" s="7">
        <f t="shared" si="122"/>
        <v>8.1334152849756361E-4</v>
      </c>
      <c r="M507" s="7">
        <f t="shared" ca="1" si="117"/>
        <v>2.6895547070506648E-4</v>
      </c>
      <c r="N507" s="7">
        <f t="shared" si="118"/>
        <v>0.99385439534751252</v>
      </c>
      <c r="O507" s="7">
        <v>-6.9831543413228295E-2</v>
      </c>
      <c r="P507" s="7">
        <f t="shared" si="119"/>
        <v>5.1716306377880716E-2</v>
      </c>
      <c r="Q507" s="7">
        <f t="shared" si="123"/>
        <v>0.12154784979110901</v>
      </c>
      <c r="R507" s="7">
        <f t="shared" si="120"/>
        <v>-0.32165162513426715</v>
      </c>
      <c r="S507" s="7">
        <f t="shared" si="124"/>
        <v>-2.014560653768311E-2</v>
      </c>
      <c r="T507" s="7">
        <f t="shared" si="125"/>
        <v>1</v>
      </c>
      <c r="U507" s="7">
        <f t="shared" si="121"/>
        <v>0.32846287683730679</v>
      </c>
      <c r="V507" s="7">
        <f t="shared" si="126"/>
        <v>3.7837969923800834E-2</v>
      </c>
      <c r="W507" s="7">
        <f t="shared" si="127"/>
        <v>0</v>
      </c>
      <c r="X507" s="8" t="s">
        <v>3</v>
      </c>
      <c r="Y507" s="7">
        <v>0.99385439534751252</v>
      </c>
      <c r="Z507" s="7">
        <v>5.1716306377880716E-2</v>
      </c>
      <c r="AC507" s="7">
        <f t="shared" si="128"/>
        <v>0.37336793151214787</v>
      </c>
      <c r="AD507" s="7">
        <f t="shared" si="129"/>
        <v>0.27674657045942608</v>
      </c>
      <c r="AE507" s="6" t="s">
        <v>3</v>
      </c>
      <c r="AF507" s="6" t="s">
        <v>3</v>
      </c>
      <c r="AG507" s="6" t="s">
        <v>3</v>
      </c>
      <c r="AH507" s="6" t="s">
        <v>3</v>
      </c>
      <c r="AI507" s="6" t="s">
        <v>3</v>
      </c>
      <c r="AJ507" s="6" t="s">
        <v>3</v>
      </c>
      <c r="AK507" s="5">
        <f t="shared" si="130"/>
        <v>1000</v>
      </c>
      <c r="AL507" s="7">
        <f t="shared" si="131"/>
        <v>-0.32165162513426715</v>
      </c>
      <c r="AM507" s="7">
        <f t="shared" si="132"/>
        <v>0.32846287683730679</v>
      </c>
    </row>
    <row r="508" spans="10:39" x14ac:dyDescent="0.25">
      <c r="X508" s="8" t="s">
        <v>3</v>
      </c>
      <c r="AC508" s="7">
        <f t="shared" si="128"/>
        <v>0</v>
      </c>
      <c r="AD508" s="7">
        <f t="shared" si="129"/>
        <v>0</v>
      </c>
      <c r="AK508" s="5">
        <v>0</v>
      </c>
      <c r="AL508" s="7">
        <f t="shared" si="131"/>
        <v>0</v>
      </c>
      <c r="AM508" s="7">
        <f t="shared" si="132"/>
        <v>0</v>
      </c>
    </row>
    <row r="509" spans="10:39" x14ac:dyDescent="0.25">
      <c r="X509" s="8" t="s">
        <v>3</v>
      </c>
      <c r="AC509" s="7">
        <f t="shared" si="128"/>
        <v>0</v>
      </c>
      <c r="AD509" s="7">
        <f t="shared" si="129"/>
        <v>0</v>
      </c>
      <c r="AK509" s="5">
        <v>0</v>
      </c>
      <c r="AL509" s="7">
        <f t="shared" si="131"/>
        <v>0</v>
      </c>
      <c r="AM509" s="7">
        <f t="shared" si="132"/>
        <v>0</v>
      </c>
    </row>
  </sheetData>
  <sortState xmlns:xlrd2="http://schemas.microsoft.com/office/spreadsheetml/2017/richdata2" ref="K7:K507">
    <sortCondition ref="K7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function</vt:lpstr>
    </vt:vector>
  </TitlesOfParts>
  <Company>PARANDCO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PARAND</dc:creator>
  <cp:lastModifiedBy>danial</cp:lastModifiedBy>
  <dcterms:created xsi:type="dcterms:W3CDTF">2016-10-30T06:49:00Z</dcterms:created>
  <dcterms:modified xsi:type="dcterms:W3CDTF">2020-04-26T20:31:49Z</dcterms:modified>
</cp:coreProperties>
</file>